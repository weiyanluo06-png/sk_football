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xmlns:r="http://schemas.openxmlformats.org/officeDocument/2006/relationships" name="统计汇总" sheetId="1" state="visible" r:id="rId1"/>
    <sheet xmlns:r="http://schemas.openxmlformats.org/officeDocument/2006/relationships" name="球员数据" sheetId="2" state="visible" r:id="rId2"/>
    <sheet xmlns:r="http://schemas.openxmlformats.org/officeDocument/2006/relationships" name="赛事索引" sheetId="3" state="visible" r:id="rId3"/>
    <sheet xmlns:r="http://schemas.openxmlformats.org/officeDocument/2006/relationships" name="赛程" sheetId="4" state="visible" r:id="rId4"/>
    <sheet xmlns:r="http://schemas.openxmlformats.org/officeDocument/2006/relationships" name="新生展示" sheetId="5" state="visible" r:id="rId5"/>
    <sheet xmlns:r="http://schemas.openxmlformats.org/officeDocument/2006/relationships" name="球队经理" sheetId="6" state="visible" r:id="rId6"/>
    <sheet xmlns:r="http://schemas.openxmlformats.org/officeDocument/2006/relationships" name="通知公告" sheetId="7" state="visible" r:id="rId7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D30" sqref="D30"/>
    </sheetView>
  </sheetViews>
  <sheetFormatPr baseColWidth="8" defaultColWidth="9" defaultRowHeight="13.5" outlineLevelRow="7"/>
  <cols>
    <col width="16" customWidth="1" min="1" max="1"/>
    <col width="22" customWidth="1" min="2" max="2"/>
    <col width="4" customWidth="1" min="3" max="3"/>
    <col width="46" customWidth="1" min="4" max="4"/>
  </cols>
  <sheetData>
    <row r="1" ht="32" customHeight="1">
      <c r="A1" s="7" t="inlineStr">
        <is>
          <t>生康足球队 · 球员数据汇总</t>
        </is>
      </c>
    </row>
    <row r="3">
      <c r="A3" s="8" t="inlineStr">
        <is>
          <t>数据范围</t>
        </is>
      </c>
      <c r="B3" s="2" t="inlineStr">
        <is>
          <t>网站当前球员档案</t>
        </is>
      </c>
      <c r="C3" s="2" t="n"/>
      <c r="D3" s="8" t="inlineStr">
        <is>
          <t>说明</t>
        </is>
      </c>
    </row>
    <row r="4" ht="15" customHeight="1">
      <c r="A4" s="9" t="inlineStr">
        <is>
          <t>球员人数</t>
        </is>
      </c>
      <c r="B4" s="10">
        <f>COUNTA(球员数据!B2:B18)</f>
        <v/>
      </c>
      <c r="C4" s="3" t="n"/>
      <c r="D4" s="3" t="inlineStr">
        <is>
          <t>数据来源：网站 js/team-data.js</t>
        </is>
      </c>
    </row>
    <row r="5" ht="15" customHeight="1">
      <c r="A5" s="8" t="inlineStr">
        <is>
          <t>总出场</t>
        </is>
      </c>
      <c r="B5" s="11">
        <f>SUM(球员数据!G2:G18)</f>
        <v/>
      </c>
      <c r="C5" s="2" t="n"/>
      <c r="D5" s="2" t="inlineStr">
        <is>
          <t>评分为网站现有记录，不做额外计算。</t>
        </is>
      </c>
    </row>
    <row r="6" ht="15" customHeight="1">
      <c r="A6" s="9" t="inlineStr">
        <is>
          <t>总进球</t>
        </is>
      </c>
      <c r="B6" s="10">
        <f>SUM(球员数据!H2:H18)</f>
        <v/>
      </c>
      <c r="C6" s="3" t="n"/>
      <c r="D6" s="3" t="inlineStr">
        <is>
          <t>扑救与零封字段保留，当前未统计时为 0。</t>
        </is>
      </c>
    </row>
    <row r="7" ht="15" customHeight="1">
      <c r="A7" s="8" t="inlineStr">
        <is>
          <t>总助攻</t>
        </is>
      </c>
      <c r="B7" s="11">
        <f>SUM(球员数据!I2:I18)</f>
        <v/>
      </c>
      <c r="C7" s="2" t="n"/>
      <c r="D7" s="2" t="inlineStr">
        <is>
          <t>后续只需更新“球员数据”工作表或网站源数据。</t>
        </is>
      </c>
    </row>
    <row r="8" ht="15" customHeight="1">
      <c r="A8" s="9" t="inlineStr">
        <is>
          <t>总 MVP</t>
        </is>
      </c>
      <c r="B8" s="10">
        <f>SUM(球员数据!J2:J18)</f>
        <v/>
      </c>
      <c r="C8" s="3" t="n"/>
      <c r="D8" s="3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tabSelected="1" workbookViewId="0">
      <pane ySplit="1" topLeftCell="A2" activePane="bottomLeft" state="frozen"/>
      <selection pane="bottomLeft" activeCell="A1" sqref="A1"/>
      <selection pane="bottomLeft" activeCell="Q7" sqref="Q7"/>
    </sheetView>
  </sheetViews>
  <sheetFormatPr baseColWidth="8" defaultColWidth="9" defaultRowHeight="13.5"/>
  <cols>
    <col width="8" customWidth="1" min="1" max="1"/>
    <col width="12" customWidth="1" min="2" max="2"/>
    <col width="16" customWidth="1" min="3" max="3"/>
    <col width="8" customWidth="1" min="4" max="4"/>
    <col width="10" customWidth="1" min="5" max="5"/>
    <col width="17" customWidth="1" min="6" max="6"/>
    <col width="9" customWidth="1" min="7" max="11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12" customWidth="1" min="13" max="13"/>
    <col width="20" customWidth="1" min="14" max="14"/>
    <col width="28" customWidth="1" min="15" max="15"/>
  </cols>
  <sheetData>
    <row r="1" ht="26" customHeight="1">
      <c r="A1" s="12" t="inlineStr">
        <is>
          <t>序号</t>
        </is>
      </c>
      <c r="B1" s="12" t="inlineStr">
        <is>
          <t>姓名</t>
        </is>
      </c>
      <c r="C1" s="12" t="inlineStr">
        <is>
          <t>绰号</t>
        </is>
      </c>
      <c r="D1" s="12" t="inlineStr">
        <is>
          <t>号码</t>
        </is>
      </c>
      <c r="E1" s="12" t="inlineStr">
        <is>
          <t>主位置</t>
        </is>
      </c>
      <c r="F1" s="12" t="inlineStr">
        <is>
          <t>可胜任位置</t>
        </is>
      </c>
      <c r="G1" s="12" t="inlineStr">
        <is>
          <t>出场</t>
        </is>
      </c>
      <c r="H1" s="12" t="inlineStr">
        <is>
          <t>进球</t>
        </is>
      </c>
      <c r="I1" s="12" t="inlineStr">
        <is>
          <t>助攻</t>
        </is>
      </c>
      <c r="J1" s="12" t="inlineStr">
        <is>
          <t>MVP</t>
        </is>
      </c>
      <c r="K1" s="12" t="inlineStr">
        <is>
          <t>零封</t>
        </is>
      </c>
      <c r="L1" s="13" t="inlineStr">
        <is>
          <t>低失球场</t>
        </is>
      </c>
      <c r="M1" s="12" t="inlineStr">
        <is>
          <t>评分</t>
        </is>
      </c>
      <c r="N1" s="12" t="inlineStr">
        <is>
          <t>踢球风格</t>
        </is>
      </c>
      <c r="O1" s="12" t="inlineStr">
        <is>
          <t>代表数据</t>
        </is>
      </c>
    </row>
    <row r="2" ht="23" customHeight="1">
      <c r="A2" s="14" t="n">
        <v>1</v>
      </c>
      <c r="B2" s="14" t="inlineStr">
        <is>
          <t>吴宇成</t>
        </is>
      </c>
      <c r="C2" s="14" t="inlineStr">
        <is>
          <t>铁血后卫</t>
        </is>
      </c>
      <c r="D2" s="14" t="n">
        <v>6</v>
      </c>
      <c r="E2" s="14" t="inlineStr">
        <is>
          <t>DF</t>
        </is>
      </c>
      <c r="F2" s="14" t="inlineStr">
        <is>
          <t>CB/CM/GK</t>
        </is>
      </c>
      <c r="G2" s="14" t="n">
        <v>11</v>
      </c>
      <c r="H2" s="14" t="n">
        <v>0</v>
      </c>
      <c r="I2" s="14" t="n">
        <v>1</v>
      </c>
      <c r="J2" s="14" t="n">
        <v>0</v>
      </c>
      <c r="K2" s="14" t="n">
        <v>0</v>
      </c>
      <c r="L2" s="14" t="n">
        <v>0</v>
      </c>
      <c r="M2" s="15">
        <f>ROUND(MIN(9.5,MAX(6,6+G2*0.08+H2*0.35+I2*0.25+J2*0.25+K2*0.15+IF(E2="DF",G2*0.06+K2*0.35+L2*0.15,0))),1)</f>
        <v/>
      </c>
      <c r="N2" s="14" t="inlineStr">
        <is>
          <t>后场组织者/进攻型门将</t>
        </is>
      </c>
      <c r="O2" s="14">
        <f>IF(H2&gt;0,IF(I2&gt;0,"贡献 "&amp;H2&amp;" 粒进球 / 送出 "&amp;I2&amp;" 次助攻","贡献 "&amp;H2&amp;" 粒进球"),IF(I2&gt;0,"送出 "&amp;I2&amp;" 次助攻","累计出场 "&amp;G2&amp;" 场"))</f>
        <v/>
      </c>
    </row>
    <row r="3" ht="23" customHeight="1">
      <c r="A3" s="16" t="n">
        <v>2</v>
      </c>
      <c r="B3" s="16" t="inlineStr">
        <is>
          <t>代育锐</t>
        </is>
      </c>
      <c r="C3" s="16" t="inlineStr">
        <is>
          <t>球王</t>
        </is>
      </c>
      <c r="D3" s="16" t="n">
        <v>10</v>
      </c>
      <c r="E3" s="16" t="inlineStr">
        <is>
          <t>DF</t>
        </is>
      </c>
      <c r="F3" s="16" t="inlineStr">
        <is>
          <t>CB/LB</t>
        </is>
      </c>
      <c r="G3" s="16" t="n">
        <v>4</v>
      </c>
      <c r="H3" s="16" t="n">
        <v>0</v>
      </c>
      <c r="I3" s="16" t="n">
        <v>0</v>
      </c>
      <c r="J3" s="16" t="n">
        <v>0</v>
      </c>
      <c r="K3" s="16" t="n">
        <v>0</v>
      </c>
      <c r="L3" s="16" t="n">
        <v>0</v>
      </c>
      <c r="M3" s="17">
        <f>ROUND(MIN(9.5,MAX(6,6+G3*0.08+H3*0.35+I3*0.25+J3*0.25+K3*0.15+IF(E3="DF",G3*0.06+K3*0.35+L3*0.15,0))),1)</f>
        <v/>
      </c>
      <c r="N3" s="16" t="inlineStr">
        <is>
          <t>组织型中后卫</t>
        </is>
      </c>
      <c r="O3" s="16">
        <f>IF(H3&gt;0,IF(I3&gt;0,"贡献 "&amp;H3&amp;" 粒进球 / 送出 "&amp;I3&amp;" 次助攻","贡献 "&amp;H3&amp;" 粒进球"),IF(I3&gt;0,"送出 "&amp;I3&amp;" 次助攻","累计出场 "&amp;G3&amp;" 场"))</f>
        <v/>
      </c>
    </row>
    <row r="4" ht="23" customHeight="1">
      <c r="A4" s="14" t="n">
        <v>3</v>
      </c>
      <c r="B4" s="14" t="inlineStr">
        <is>
          <t>王伯函</t>
        </is>
      </c>
      <c r="C4" s="14" t="inlineStr">
        <is>
          <t>防守大闸</t>
        </is>
      </c>
      <c r="D4" s="14" t="n">
        <v>29</v>
      </c>
      <c r="E4" s="14" t="inlineStr">
        <is>
          <t>DF</t>
        </is>
      </c>
      <c r="F4" s="14" t="inlineStr">
        <is>
          <t>LB/CB</t>
        </is>
      </c>
      <c r="G4" s="14" t="n">
        <v>9</v>
      </c>
      <c r="H4" s="14" t="n">
        <v>0</v>
      </c>
      <c r="I4" s="14" t="n">
        <v>0</v>
      </c>
      <c r="J4" s="14" t="n">
        <v>0</v>
      </c>
      <c r="K4" s="14" t="n">
        <v>0</v>
      </c>
      <c r="L4" s="14" t="n">
        <v>0</v>
      </c>
      <c r="M4" s="15">
        <f>ROUND(MIN(9.5,MAX(6,6+G4*0.08+H4*0.35+I4*0.25+J4*0.25+K4*0.15+IF(E4="DF",G4*0.06+K4*0.35+L4*0.15,0))),1)</f>
        <v/>
      </c>
      <c r="N4" s="14" t="inlineStr">
        <is>
          <t>防守型边后卫</t>
        </is>
      </c>
      <c r="O4" s="14">
        <f>IF(H4&gt;0,IF(I4&gt;0,"贡献 "&amp;H4&amp;" 粒进球 / 送出 "&amp;I4&amp;" 次助攻","贡献 "&amp;H4&amp;" 粒进球"),IF(I4&gt;0,"送出 "&amp;I4&amp;" 次助攻","累计出场 "&amp;G4&amp;" 场"))</f>
        <v/>
      </c>
    </row>
    <row r="5" ht="23" customHeight="1">
      <c r="A5" s="16" t="n">
        <v>4</v>
      </c>
      <c r="B5" s="16" t="inlineStr">
        <is>
          <t>刘航宇</t>
        </is>
      </c>
      <c r="C5" s="16" t="inlineStr">
        <is>
          <t>门神</t>
        </is>
      </c>
      <c r="D5" s="16" t="n">
        <v>0</v>
      </c>
      <c r="E5" s="16" t="inlineStr">
        <is>
          <t>GK</t>
        </is>
      </c>
      <c r="F5" s="16" t="inlineStr">
        <is>
          <t>GK</t>
        </is>
      </c>
      <c r="G5" s="16" t="n">
        <v>8</v>
      </c>
      <c r="H5" s="16" t="n">
        <v>0</v>
      </c>
      <c r="I5" s="16" t="n">
        <v>0</v>
      </c>
      <c r="J5" s="16" t="n">
        <v>0</v>
      </c>
      <c r="K5" s="16" t="n">
        <v>1</v>
      </c>
      <c r="L5" s="16" t="n">
        <v>0</v>
      </c>
      <c r="M5" s="17">
        <f>ROUND(MIN(9.5,MAX(6,6+G5*0.08+H5*0.35+I5*0.25+J5*0.25+K5*0.15+IF(E5="DF",G5*0.06+K5*0.35+L5*0.15,0))),1)</f>
        <v/>
      </c>
      <c r="N5" s="16" t="inlineStr">
        <is>
          <t>防守型门将</t>
        </is>
      </c>
      <c r="O5" s="16">
        <f>IF(H5&gt;0,IF(I5&gt;0,"贡献 "&amp;H5&amp;" 粒进球 / 送出 "&amp;I5&amp;" 次助攻","贡献 "&amp;H5&amp;" 粒进球"),IF(I5&gt;0,"送出 "&amp;I5&amp;" 次助攻","累计出场 "&amp;G5&amp;" 场"))</f>
        <v/>
      </c>
    </row>
    <row r="6" ht="23" customHeight="1">
      <c r="A6" s="14" t="n">
        <v>5</v>
      </c>
      <c r="B6" s="14" t="inlineStr">
        <is>
          <t>曹维嘉</t>
        </is>
      </c>
      <c r="C6" s="14" t="inlineStr">
        <is>
          <t>能跑</t>
        </is>
      </c>
      <c r="D6" s="14" t="n">
        <v>23</v>
      </c>
      <c r="E6" s="14" t="inlineStr">
        <is>
          <t>FW</t>
        </is>
      </c>
      <c r="F6" s="14" t="inlineStr">
        <is>
          <t>RB/RWF</t>
        </is>
      </c>
      <c r="G6" s="14" t="n">
        <v>8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5">
        <f>ROUND(MIN(9.5,MAX(6,6+G6*0.08+H6*0.35+I6*0.25+J6*0.25+K6*0.15+IF(E6="DF",G6*0.06+K6*0.35+L6*0.15,0))),1)</f>
        <v/>
      </c>
      <c r="N6" s="14" t="inlineStr">
        <is>
          <t>防守型边锋</t>
        </is>
      </c>
      <c r="O6" s="14">
        <f>IF(H6&gt;0,IF(I6&gt;0,"贡献 "&amp;H6&amp;" 粒进球 / 送出 "&amp;I6&amp;" 次助攻","贡献 "&amp;H6&amp;" 粒进球"),IF(I6&gt;0,"送出 "&amp;I6&amp;" 次助攻","累计出场 "&amp;G6&amp;" 场"))</f>
        <v/>
      </c>
    </row>
    <row r="7" ht="23" customHeight="1">
      <c r="A7" s="16" t="n">
        <v>6</v>
      </c>
      <c r="B7" s="16" t="inlineStr">
        <is>
          <t>尚锐杰</t>
        </is>
      </c>
      <c r="C7" s="16" t="inlineStr">
        <is>
          <t>曾效力队员</t>
        </is>
      </c>
      <c r="D7" s="16" t="n">
        <v>9</v>
      </c>
      <c r="E7" s="16" t="inlineStr">
        <is>
          <t>DF</t>
        </is>
      </c>
      <c r="F7" s="16" t="inlineStr">
        <is>
          <t>RB</t>
        </is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7">
        <f>ROUND(MIN(9.5,MAX(6,6+G7*0.08+H7*0.35+I7*0.25+J7*0.25+K7*0.15+IF(E7="DF",G7*0.06+K7*0.35+L7*0.15,0))),1)</f>
        <v/>
      </c>
      <c r="N7" s="16" t="inlineStr">
        <is>
          <t>边后卫</t>
        </is>
      </c>
      <c r="O7" s="16">
        <f>IF(H7&gt;0,IF(I7&gt;0,"贡献 "&amp;H7&amp;" 粒进球 / 送出 "&amp;I7&amp;" 次助攻","贡献 "&amp;H7&amp;" 粒进球"),IF(I7&gt;0,"送出 "&amp;I7&amp;" 次助攻","累计出场 "&amp;G7&amp;" 场"))</f>
        <v/>
      </c>
    </row>
    <row r="8" ht="23" customHeight="1">
      <c r="A8" s="14" t="n">
        <v>7</v>
      </c>
      <c r="B8" s="14" t="inlineStr">
        <is>
          <t>吴宇泽</t>
        </is>
      </c>
      <c r="C8" s="14" t="inlineStr">
        <is>
          <t>53</t>
        </is>
      </c>
      <c r="D8" s="14" t="n">
        <v>15</v>
      </c>
      <c r="E8" s="14" t="inlineStr">
        <is>
          <t>FW</t>
        </is>
      </c>
      <c r="F8" s="14" t="inlineStr">
        <is>
          <t>LWF/CF</t>
        </is>
      </c>
      <c r="G8" s="14" t="n">
        <v>11</v>
      </c>
      <c r="H8" s="14" t="n">
        <v>6</v>
      </c>
      <c r="I8" s="14" t="n">
        <v>1</v>
      </c>
      <c r="J8" s="14" t="n">
        <v>0</v>
      </c>
      <c r="K8" s="14" t="n">
        <v>0</v>
      </c>
      <c r="L8" s="14" t="n">
        <v>0</v>
      </c>
      <c r="M8" s="15">
        <f>ROUND(MIN(9.5,MAX(6,6+G8*0.08+H8*0.35+I8*0.25+J8*0.25+K8*0.15+IF(E8="DF",G8*0.06+K8*0.35+L8*0.15,0))),1)</f>
        <v/>
      </c>
      <c r="N8" s="14" t="inlineStr">
        <is>
          <t>抢点型前锋</t>
        </is>
      </c>
      <c r="O8" s="14">
        <f>IF(H8&gt;0,IF(I8&gt;0,"贡献 "&amp;H8&amp;" 粒进球 / 送出 "&amp;I8&amp;" 次助攻","贡献 "&amp;H8&amp;" 粒进球"),IF(I8&gt;0,"送出 "&amp;I8&amp;" 次助攻","累计出场 "&amp;G8&amp;" 场"))</f>
        <v/>
      </c>
    </row>
    <row r="9" ht="23" customHeight="1">
      <c r="A9" s="16" t="n">
        <v>8</v>
      </c>
      <c r="B9" s="16" t="inlineStr">
        <is>
          <t>彭卓伦</t>
        </is>
      </c>
      <c r="C9" s="16" t="inlineStr">
        <is>
          <t>发牌</t>
        </is>
      </c>
      <c r="D9" s="16" t="n">
        <v>8</v>
      </c>
      <c r="E9" s="16" t="inlineStr">
        <is>
          <t>MF</t>
        </is>
      </c>
      <c r="F9" s="16" t="inlineStr">
        <is>
          <t>AM/LWF</t>
        </is>
      </c>
      <c r="G9" s="16" t="n">
        <v>8</v>
      </c>
      <c r="H9" s="16" t="n">
        <v>2</v>
      </c>
      <c r="I9" s="16" t="n">
        <v>3</v>
      </c>
      <c r="J9" s="16" t="n">
        <v>0</v>
      </c>
      <c r="K9" s="16" t="n">
        <v>0</v>
      </c>
      <c r="L9" s="16" t="n">
        <v>0</v>
      </c>
      <c r="M9" s="17">
        <f>ROUND(MIN(9.5,MAX(6,6+G9*0.08+H9*0.35+I9*0.25+J9*0.25+K9*0.15+IF(E9="DF",G9*0.06+K9*0.35+L9*0.15,0))),1)</f>
        <v/>
      </c>
      <c r="N9" s="16" t="inlineStr">
        <is>
          <t>组织型前锋</t>
        </is>
      </c>
      <c r="O9" s="16">
        <f>IF(H9&gt;0,IF(I9&gt;0,"贡献 "&amp;H9&amp;" 粒进球 / 送出 "&amp;I9&amp;" 次助攻","贡献 "&amp;H9&amp;" 粒进球"),IF(I9&gt;0,"送出 "&amp;I9&amp;" 次助攻","累计出场 "&amp;G9&amp;" 场"))</f>
        <v/>
      </c>
    </row>
    <row r="10" ht="23" customHeight="1">
      <c r="A10" s="14" t="n">
        <v>9</v>
      </c>
      <c r="B10" s="14" t="inlineStr">
        <is>
          <t>周霄旭</t>
        </is>
      </c>
      <c r="C10" s="14" t="inlineStr">
        <is>
          <t>生康未来</t>
        </is>
      </c>
      <c r="D10" s="14" t="n">
        <v>5</v>
      </c>
      <c r="E10" s="14" t="inlineStr">
        <is>
          <t>FW</t>
        </is>
      </c>
      <c r="F10" s="14" t="inlineStr">
        <is>
          <t>CF/RWF/AM</t>
        </is>
      </c>
      <c r="G10" s="14" t="n">
        <v>10</v>
      </c>
      <c r="H10" s="14" t="n">
        <v>4</v>
      </c>
      <c r="I10" s="14" t="n">
        <v>3</v>
      </c>
      <c r="J10" s="14" t="n">
        <v>0</v>
      </c>
      <c r="K10" s="14" t="n">
        <v>0</v>
      </c>
      <c r="L10" s="14" t="n">
        <v>0</v>
      </c>
      <c r="M10" s="15">
        <f>ROUND(MIN(9.5,MAX(6,6+G10*0.08+H10*0.35+I10*0.25+J10*0.25+K10*0.15+IF(E10="DF",G10*0.06+K10*0.35+L10*0.15,0))),1)</f>
        <v/>
      </c>
      <c r="N10" s="14" t="inlineStr">
        <is>
          <t>全能前锋</t>
        </is>
      </c>
      <c r="O10" s="14">
        <f>IF(H10&gt;0,IF(I10&gt;0,"贡献 "&amp;H10&amp;" 粒进球 / 送出 "&amp;I10&amp;" 次助攻","贡献 "&amp;H10&amp;" 粒进球"),IF(I10&gt;0,"送出 "&amp;I10&amp;" 次助攻","累计出场 "&amp;G10&amp;" 场"))</f>
        <v/>
      </c>
    </row>
    <row r="11" ht="23" customHeight="1">
      <c r="A11" s="16" t="n">
        <v>10</v>
      </c>
      <c r="B11" s="16" t="inlineStr">
        <is>
          <t>张俊</t>
        </is>
      </c>
      <c r="C11" s="16" t="inlineStr">
        <is>
          <t>全能王</t>
        </is>
      </c>
      <c r="D11" s="16" t="n">
        <v>17</v>
      </c>
      <c r="E11" s="16" t="inlineStr">
        <is>
          <t>DF</t>
        </is>
      </c>
      <c r="F11" s="16" t="inlineStr">
        <is>
          <t>CB/CM/GK</t>
        </is>
      </c>
      <c r="G11" s="16" t="n">
        <v>6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7">
        <f>ROUND(MIN(9.5,MAX(6,6+G11*0.08+H11*0.35+I11*0.25+J11*0.25+K11*0.15+IF(E11="DF",G11*0.06+K11*0.35+L11*0.15,0))),1)</f>
        <v/>
      </c>
      <c r="N11" s="16" t="inlineStr">
        <is>
          <t>全能中场</t>
        </is>
      </c>
      <c r="O11" s="16">
        <f>IF(H11&gt;0,IF(I11&gt;0,"贡献 "&amp;H11&amp;" 粒进球 / 送出 "&amp;I11&amp;" 次助攻","贡献 "&amp;H11&amp;" 粒进球"),IF(I11&gt;0,"送出 "&amp;I11&amp;" 次助攻","累计出场 "&amp;G11&amp;" 场"))</f>
        <v/>
      </c>
    </row>
    <row r="12" ht="23" customHeight="1">
      <c r="A12" s="14" t="n">
        <v>11</v>
      </c>
      <c r="B12" s="14" t="inlineStr">
        <is>
          <t>岑烨</t>
        </is>
      </c>
      <c r="C12" s="14" t="inlineStr">
        <is>
          <t>门神</t>
        </is>
      </c>
      <c r="D12" s="14" t="n">
        <v>18</v>
      </c>
      <c r="E12" s="14" t="inlineStr">
        <is>
          <t>GK</t>
        </is>
      </c>
      <c r="F12" s="14" t="inlineStr">
        <is>
          <t>GK/CB</t>
        </is>
      </c>
      <c r="G12" s="14" t="n">
        <v>5</v>
      </c>
      <c r="H12" s="14" t="n">
        <v>0</v>
      </c>
      <c r="I12" s="14" t="n">
        <v>0</v>
      </c>
      <c r="J12" s="14" t="n">
        <v>0</v>
      </c>
      <c r="K12" s="14" t="n">
        <v>1</v>
      </c>
      <c r="L12" s="14" t="n">
        <v>0</v>
      </c>
      <c r="M12" s="15">
        <f>ROUND(MIN(9.5,MAX(6,6+G12*0.08+H12*0.35+I12*0.25+J12*0.25+K12*0.15+IF(E12="DF",G12*0.06+K12*0.35+L12*0.15,0))),1)</f>
        <v/>
      </c>
      <c r="N12" s="14" t="inlineStr">
        <is>
          <t>防守型门将</t>
        </is>
      </c>
      <c r="O12" s="14">
        <f>IF(H12&gt;0,IF(I12&gt;0,"贡献 "&amp;H12&amp;" 粒进球 / 送出 "&amp;I12&amp;" 次助攻","贡献 "&amp;H12&amp;" 粒进球"),IF(I12&gt;0,"送出 "&amp;I12&amp;" 次助攻","累计出场 "&amp;G12&amp;" 场"))</f>
        <v/>
      </c>
    </row>
    <row r="13" ht="23" customHeight="1">
      <c r="A13" s="16" t="n">
        <v>12</v>
      </c>
      <c r="B13" s="16" t="inlineStr">
        <is>
          <t>李傲</t>
        </is>
      </c>
      <c r="C13" s="16" t="inlineStr">
        <is>
          <t>铁血</t>
        </is>
      </c>
      <c r="D13" s="16" t="n">
        <v>19</v>
      </c>
      <c r="E13" s="16" t="inlineStr">
        <is>
          <t>DF</t>
        </is>
      </c>
      <c r="F13" s="16" t="inlineStr">
        <is>
          <t>RB</t>
        </is>
      </c>
      <c r="G13" s="16" t="n">
        <v>8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7">
        <f>ROUND(MIN(9.5,MAX(6,6+G13*0.08+H13*0.35+I13*0.25+J13*0.25+K13*0.15+IF(E13="DF",G13*0.06+K13*0.35+L13*0.15,0))),1)</f>
        <v/>
      </c>
      <c r="N13" s="16" t="inlineStr">
        <is>
          <t>边翼卫</t>
        </is>
      </c>
      <c r="O13" s="16">
        <f>IF(H13&gt;0,IF(I13&gt;0,"贡献 "&amp;H13&amp;" 粒进球 / 送出 "&amp;I13&amp;" 次助攻","贡献 "&amp;H13&amp;" 粒进球"),IF(I13&gt;0,"送出 "&amp;I13&amp;" 次助攻","累计出场 "&amp;G13&amp;" 场"))</f>
        <v/>
      </c>
    </row>
    <row r="14" ht="23" customHeight="1">
      <c r="A14" s="14" t="n">
        <v>13</v>
      </c>
      <c r="B14" s="14" t="inlineStr">
        <is>
          <t>吴全银</t>
        </is>
      </c>
      <c r="C14" s="14" t="inlineStr">
        <is>
          <t>控场</t>
        </is>
      </c>
      <c r="D14" s="14" t="n">
        <v>25</v>
      </c>
      <c r="E14" s="14" t="inlineStr">
        <is>
          <t>MF</t>
        </is>
      </c>
      <c r="F14" s="14" t="inlineStr">
        <is>
          <t>DM/RB</t>
        </is>
      </c>
      <c r="G14" s="14" t="n">
        <v>6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5">
        <f>ROUND(MIN(9.5,MAX(6,6+G14*0.08+H14*0.35+I14*0.25+J14*0.25+K14*0.15+IF(E14="DF",G14*0.06+K14*0.35+L14*0.15,0))),1)</f>
        <v/>
      </c>
      <c r="N14" s="14" t="inlineStr">
        <is>
          <t>全能中场</t>
        </is>
      </c>
      <c r="O14" s="14">
        <f>IF(H14&gt;0,IF(I14&gt;0,"贡献 "&amp;H14&amp;" 粒进球 / 送出 "&amp;I14&amp;" 次助攻","贡献 "&amp;H14&amp;" 粒进球"),IF(I14&gt;0,"送出 "&amp;I14&amp;" 次助攻","累计出场 "&amp;G14&amp;" 场"))</f>
        <v/>
      </c>
    </row>
    <row r="15" ht="23" customHeight="1">
      <c r="A15" s="16" t="n">
        <v>14</v>
      </c>
      <c r="B15" s="16" t="inlineStr">
        <is>
          <t>陈亿霏</t>
        </is>
      </c>
      <c r="C15" s="16" t="inlineStr">
        <is>
          <t>寝室长</t>
        </is>
      </c>
      <c r="D15" s="16" t="n">
        <v>66</v>
      </c>
      <c r="E15" s="16" t="inlineStr">
        <is>
          <t>DF</t>
        </is>
      </c>
      <c r="F15" s="16" t="inlineStr">
        <is>
          <t>LB</t>
        </is>
      </c>
      <c r="G15" s="16" t="n">
        <v>3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7">
        <f>ROUND(MIN(9.5,MAX(6,6+G15*0.08+H15*0.35+I15*0.25+J15*0.25+K15*0.15+IF(E15="DF",G15*0.06+K15*0.35+L15*0.15,0))),1)</f>
        <v/>
      </c>
      <c r="N15" s="16" t="inlineStr">
        <is>
          <t>边后卫</t>
        </is>
      </c>
      <c r="O15" s="16">
        <f>IF(H15&gt;0,IF(I15&gt;0,"贡献 "&amp;H15&amp;" 粒进球 / 送出 "&amp;I15&amp;" 次助攻","贡献 "&amp;H15&amp;" 粒进球"),IF(I15&gt;0,"送出 "&amp;I15&amp;" 次助攻","累计出场 "&amp;G15&amp;" 场"))</f>
        <v/>
      </c>
    </row>
    <row r="16" ht="23" customHeight="1">
      <c r="A16" s="14" t="n">
        <v>15</v>
      </c>
      <c r="B16" s="14" t="inlineStr">
        <is>
          <t>何嗣承</t>
        </is>
      </c>
      <c r="C16" s="14" t="inlineStr">
        <is>
          <t>生康坎特</t>
        </is>
      </c>
      <c r="D16" s="14" t="n">
        <v>12</v>
      </c>
      <c r="E16" s="14" t="inlineStr">
        <is>
          <t>MF</t>
        </is>
      </c>
      <c r="F16" s="14" t="inlineStr">
        <is>
          <t>DM/LB</t>
        </is>
      </c>
      <c r="G16" s="14" t="n">
        <v>10</v>
      </c>
      <c r="H16" s="14" t="n">
        <v>1</v>
      </c>
      <c r="I16" s="14" t="n">
        <v>1</v>
      </c>
      <c r="J16" s="14" t="n">
        <v>0</v>
      </c>
      <c r="K16" s="14" t="n">
        <v>1</v>
      </c>
      <c r="L16" s="14" t="n">
        <v>0</v>
      </c>
      <c r="M16" s="15">
        <f>ROUND(MIN(9.5,MAX(6,6+G16*0.08+H16*0.35+I16*0.25+J16*0.25+K16*0.15+IF(E16="DF",G16*0.06+K16*0.35+L16*0.15,0))),1)</f>
        <v/>
      </c>
      <c r="N16" s="14" t="inlineStr">
        <is>
          <t>扫荡型中场</t>
        </is>
      </c>
      <c r="O16" s="14">
        <f>IF(H16&gt;0,IF(I16&gt;0,"贡献 "&amp;H16&amp;" 粒进球 / 送出 "&amp;I16&amp;" 次助攻","贡献 "&amp;H16&amp;" 粒进球"),IF(I16&gt;0,"送出 "&amp;I16&amp;" 次助攻","累计出场 "&amp;G16&amp;" 场"))</f>
        <v/>
      </c>
    </row>
    <row r="17" ht="23" customHeight="1">
      <c r="A17" s="16" t="n">
        <v>16</v>
      </c>
      <c r="B17" s="16" t="inlineStr">
        <is>
          <t>曹志威</t>
        </is>
      </c>
      <c r="C17" s="16" t="inlineStr">
        <is>
          <t>活跃队员</t>
        </is>
      </c>
      <c r="D17" s="16" t="n">
        <v>66</v>
      </c>
      <c r="E17" s="16" t="inlineStr">
        <is>
          <t>GK</t>
        </is>
      </c>
      <c r="F17" s="16" t="inlineStr">
        <is>
          <t>GK</t>
        </is>
      </c>
      <c r="G17" s="16" t="n">
        <v>1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7">
        <f>ROUND(MIN(9.5,MAX(6,6+G17*0.08+H17*0.35+I17*0.25+J17*0.25+K17*0.15+IF(E17="DF",G17*0.06+K17*0.35+L17*0.15,0))),1)</f>
        <v/>
      </c>
      <c r="N17" s="16" t="inlineStr">
        <is>
          <t>门将</t>
        </is>
      </c>
      <c r="O17" s="16">
        <f>IF(H17&gt;0,IF(I17&gt;0,"贡献 "&amp;H17&amp;" 粒进球 / 送出 "&amp;I17&amp;" 次助攻","贡献 "&amp;H17&amp;" 粒进球"),IF(I17&gt;0,"送出 "&amp;I17&amp;" 次助攻","累计出场 "&amp;G17&amp;" 场"))</f>
        <v/>
      </c>
    </row>
    <row r="18" ht="23" customHeight="1">
      <c r="A18" s="14" t="n">
        <v>17</v>
      </c>
      <c r="B18" s="14" t="inlineStr">
        <is>
          <t>苗志梁</t>
        </is>
      </c>
      <c r="C18" s="14" t="inlineStr">
        <is>
          <t>足球文艺青年</t>
        </is>
      </c>
      <c r="D18" s="14" t="n">
        <v>15</v>
      </c>
      <c r="E18" s="14" t="inlineStr">
        <is>
          <t>DF</t>
        </is>
      </c>
      <c r="F18" s="14" t="inlineStr">
        <is>
          <t>LB/LWB</t>
        </is>
      </c>
      <c r="G18" s="14" t="n">
        <v>2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5">
        <f>ROUND(MIN(9.5,MAX(6,6+G18*0.08+H18*0.35+I18*0.25+J18*0.25+K18*0.15+IF(E18="DF",G18*0.06+K18*0.35+L18*0.15,0))),1)</f>
        <v/>
      </c>
      <c r="N18" s="14" t="inlineStr">
        <is>
          <t>边后卫</t>
        </is>
      </c>
      <c r="O18" s="14">
        <f>IF(H18&gt;0,IF(I18&gt;0,"贡献 "&amp;H18&amp;" 粒进球 / 送出 "&amp;I18&amp;" 次助攻","贡献 "&amp;H18&amp;" 粒进球"),IF(I18&gt;0,"送出 "&amp;I18&amp;" 次助攻","累计出场 "&amp;G18&amp;" 场"))</f>
        <v/>
      </c>
    </row>
  </sheetData>
  <autoFilter ref="A1:O18"/>
  <conditionalFormatting sqref="M2:M18">
    <cfRule type="colorScale" priority="1">
      <colorScale>
        <cfvo type="min"/>
        <cfvo type="percentile" val="50"/>
        <cfvo type="max"/>
        <color rgb="FFF1E2E2"/>
        <color rgb="FFFFF2C2"/>
        <color rgb="FFCDE8D5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2" customWidth="1" min="2" max="2"/>
    <col width="10" customWidth="1" min="3" max="3"/>
    <col width="8" customWidth="1" min="4" max="4"/>
    <col width="10" customWidth="1" min="5" max="5"/>
    <col width="18" customWidth="1" min="6" max="6"/>
    <col width="10" customWidth="1" min="7" max="7"/>
    <col width="18" customWidth="1" min="8" max="8"/>
    <col width="34" customWidth="1" min="9" max="9"/>
    <col width="24" customWidth="1" min="10" max="10"/>
    <col width="14" customWidth="1" min="11" max="11"/>
    <col width="12" customWidth="1" min="12" max="12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号码</t>
        </is>
      </c>
      <c r="E1" s="13" t="inlineStr">
        <is>
          <t>主位置</t>
        </is>
      </c>
      <c r="F1" s="13" t="inlineStr">
        <is>
          <t>可胜任位置</t>
        </is>
      </c>
      <c r="G1" s="13" t="inlineStr">
        <is>
          <t>惯用脚</t>
        </is>
      </c>
      <c r="H1" s="13" t="inlineStr">
        <is>
          <t>踢球风格</t>
        </is>
      </c>
      <c r="I1" s="13" t="inlineStr">
        <is>
          <t>自我介绍</t>
        </is>
      </c>
      <c r="J1" s="13" t="inlineStr">
        <is>
          <t>照片文件名</t>
        </is>
      </c>
      <c r="K1" s="13" t="inlineStr">
        <is>
          <t>照片焦点</t>
        </is>
      </c>
      <c r="L1" s="13" t="inlineStr">
        <is>
          <t>展示状态</t>
        </is>
      </c>
    </row>
    <row r="2">
      <c r="A2" t="n">
        <v>1</v>
      </c>
      <c r="B2" t="inlineStr">
        <is>
          <t>段世添</t>
        </is>
      </c>
      <c r="C2" t="inlineStr">
        <is>
          <t>2026级</t>
        </is>
      </c>
      <c r="D2" t="n">
        <v>10</v>
      </c>
      <c r="E2" t="inlineStr">
        <is>
          <t>中锋</t>
        </is>
      </c>
      <c r="F2" t="inlineStr">
        <is>
          <t>前腰</t>
        </is>
      </c>
      <c r="G2" t="inlineStr">
        <is>
          <t>双脚</t>
        </is>
      </c>
      <c r="I2" t="inlineStr">
        <is>
          <t>改变生康历史的男人要来了</t>
        </is>
      </c>
      <c r="J2" t="inlineStr">
        <is>
          <t>duanshitian.jpg</t>
        </is>
      </c>
      <c r="K2" t="inlineStr">
        <is>
          <t>50% 50%</t>
        </is>
      </c>
      <c r="L2" t="inlineStr">
        <is>
          <t>展示</t>
        </is>
      </c>
    </row>
    <row r="3">
      <c r="A3" t="n">
        <v>2</v>
      </c>
      <c r="B3" t="inlineStr">
        <is>
          <t>何梁柱</t>
        </is>
      </c>
      <c r="C3" t="inlineStr">
        <is>
          <t>2026级</t>
        </is>
      </c>
      <c r="D3" t="n">
        <v>18</v>
      </c>
      <c r="E3" t="inlineStr">
        <is>
          <t>中场</t>
        </is>
      </c>
      <c r="G3" t="inlineStr">
        <is>
          <t>右脚</t>
        </is>
      </c>
      <c r="J3" t="inlineStr">
        <is>
          <t>heliangzhu.png</t>
        </is>
      </c>
      <c r="K3" t="inlineStr">
        <is>
          <t>50% 50%</t>
        </is>
      </c>
      <c r="L3" t="inlineStr">
        <is>
          <t>展示</t>
        </is>
      </c>
    </row>
    <row r="4">
      <c r="A4" t="n">
        <v>3</v>
      </c>
      <c r="B4" t="inlineStr">
        <is>
          <t>肖思博</t>
        </is>
      </c>
      <c r="C4" t="inlineStr">
        <is>
          <t>2026级</t>
        </is>
      </c>
      <c r="D4" t="n">
        <v>33</v>
      </c>
      <c r="E4" t="inlineStr">
        <is>
          <t>后卫</t>
        </is>
      </c>
      <c r="G4" t="inlineStr">
        <is>
          <t>右脚</t>
        </is>
      </c>
      <c r="J4" t="inlineStr">
        <is>
          <t>xiaosibo.jpg</t>
        </is>
      </c>
      <c r="K4" t="inlineStr">
        <is>
          <t>50% 50%</t>
        </is>
      </c>
      <c r="L4" t="inlineStr">
        <is>
          <t>展示</t>
        </is>
      </c>
    </row>
    <row r="5">
      <c r="A5" t="n">
        <v>4</v>
      </c>
      <c r="B5" t="inlineStr">
        <is>
          <t>凌淇</t>
        </is>
      </c>
      <c r="C5" t="inlineStr">
        <is>
          <t>2026级</t>
        </is>
      </c>
      <c r="D5" t="n">
        <v>17</v>
      </c>
      <c r="E5" t="inlineStr">
        <is>
          <t>中前场</t>
        </is>
      </c>
      <c r="G5" t="inlineStr">
        <is>
          <t>右脚</t>
        </is>
      </c>
      <c r="J5" t="inlineStr">
        <is>
          <t>lingqi.jpg</t>
        </is>
      </c>
      <c r="K5" t="inlineStr">
        <is>
          <t>50% 50%</t>
        </is>
      </c>
      <c r="L5" t="inlineStr">
        <is>
          <t>展示</t>
        </is>
      </c>
    </row>
    <row r="6">
      <c r="A6" t="n">
        <v>5</v>
      </c>
      <c r="B6" t="inlineStr">
        <is>
          <t>雷振廷</t>
        </is>
      </c>
      <c r="C6" t="inlineStr">
        <is>
          <t>2026级</t>
        </is>
      </c>
      <c r="D6" t="n">
        <v>12</v>
      </c>
      <c r="E6" t="inlineStr">
        <is>
          <t>后卫</t>
        </is>
      </c>
      <c r="F6" t="inlineStr">
        <is>
          <t>中场</t>
        </is>
      </c>
      <c r="G6" t="inlineStr">
        <is>
          <t>右脚</t>
        </is>
      </c>
      <c r="J6" t="inlineStr">
        <is>
          <t>leizhenting.png</t>
        </is>
      </c>
      <c r="K6" t="inlineStr">
        <is>
          <t>50% 50%</t>
        </is>
      </c>
      <c r="L6" t="inlineStr">
        <is>
          <t>展示</t>
        </is>
      </c>
    </row>
    <row r="7">
      <c r="A7" t="n">
        <v>6</v>
      </c>
      <c r="B7" t="inlineStr">
        <is>
          <t>蔡照</t>
        </is>
      </c>
      <c r="C7" t="inlineStr">
        <is>
          <t>2026级</t>
        </is>
      </c>
      <c r="D7" t="n">
        <v>6</v>
      </c>
      <c r="E7" t="inlineStr">
        <is>
          <t>边锋</t>
        </is>
      </c>
      <c r="G7" t="inlineStr">
        <is>
          <t>右脚</t>
        </is>
      </c>
      <c r="J7" t="inlineStr">
        <is>
          <t>caizhao.jpg</t>
        </is>
      </c>
      <c r="K7" t="inlineStr">
        <is>
          <t>50% 50%</t>
        </is>
      </c>
      <c r="L7" t="inlineStr">
        <is>
          <t>展示</t>
        </is>
      </c>
    </row>
    <row r="8">
      <c r="A8" t="n">
        <v>7</v>
      </c>
      <c r="B8" t="inlineStr">
        <is>
          <t>喻新旭</t>
        </is>
      </c>
      <c r="C8" t="inlineStr">
        <is>
          <t>2026级</t>
        </is>
      </c>
      <c r="D8" t="n">
        <v>14</v>
      </c>
      <c r="E8" t="inlineStr">
        <is>
          <t>中锋</t>
        </is>
      </c>
      <c r="F8" t="inlineStr">
        <is>
          <t>后卫</t>
        </is>
      </c>
      <c r="G8" t="inlineStr">
        <is>
          <t>右脚</t>
        </is>
      </c>
      <c r="J8" t="inlineStr">
        <is>
          <t>yuxinxu.jpg</t>
        </is>
      </c>
      <c r="K8" t="inlineStr">
        <is>
          <t>50% 50%</t>
        </is>
      </c>
      <c r="L8" t="inlineStr">
        <is>
          <t>展示</t>
        </is>
      </c>
    </row>
    <row r="9">
      <c r="A9" t="n">
        <v>8</v>
      </c>
      <c r="B9" t="inlineStr">
        <is>
          <t>叶浩</t>
        </is>
      </c>
      <c r="C9" t="inlineStr">
        <is>
          <t>2026级</t>
        </is>
      </c>
      <c r="D9" t="n">
        <v>66</v>
      </c>
      <c r="E9" t="inlineStr">
        <is>
          <t>边锋</t>
        </is>
      </c>
      <c r="G9" t="inlineStr">
        <is>
          <t>右脚</t>
        </is>
      </c>
      <c r="J9" t="inlineStr">
        <is>
          <t>yehao.jpg</t>
        </is>
      </c>
      <c r="K9" t="inlineStr">
        <is>
          <t>50% 50%</t>
        </is>
      </c>
      <c r="L9" t="inlineStr">
        <is>
          <t>展示</t>
        </is>
      </c>
    </row>
    <row r="10">
      <c r="A10" t="n">
        <v>9</v>
      </c>
      <c r="B10" t="inlineStr">
        <is>
          <t>杨锦泰</t>
        </is>
      </c>
      <c r="C10" t="inlineStr">
        <is>
          <t>2026级</t>
        </is>
      </c>
      <c r="D10" t="n">
        <v>4</v>
      </c>
      <c r="E10" t="inlineStr">
        <is>
          <t>中后卫</t>
        </is>
      </c>
      <c r="G10" t="inlineStr">
        <is>
          <t>右脚</t>
        </is>
      </c>
      <c r="J10" t="inlineStr">
        <is>
          <t>yangjintai.png</t>
        </is>
      </c>
      <c r="K10" t="inlineStr">
        <is>
          <t>50% 0%</t>
        </is>
      </c>
      <c r="L10" t="inlineStr">
        <is>
          <t>展示</t>
        </is>
      </c>
    </row>
    <row r="11">
      <c r="A11" t="n">
        <v>10</v>
      </c>
      <c r="B11" t="inlineStr">
        <is>
          <t>田杨洋</t>
        </is>
      </c>
      <c r="C11" t="inlineStr">
        <is>
          <t>2026级</t>
        </is>
      </c>
      <c r="D11" t="n">
        <v>22</v>
      </c>
      <c r="E11" t="inlineStr">
        <is>
          <t>后卫</t>
        </is>
      </c>
      <c r="G11" t="inlineStr">
        <is>
          <t>右脚</t>
        </is>
      </c>
      <c r="J11" t="inlineStr">
        <is>
          <t>tianyangyang.jpg</t>
        </is>
      </c>
      <c r="K11" t="inlineStr">
        <is>
          <t>50% 50%</t>
        </is>
      </c>
      <c r="L11" t="inlineStr">
        <is>
          <t>展示</t>
        </is>
      </c>
    </row>
    <row r="12">
      <c r="A12" t="n">
        <v>11</v>
      </c>
      <c r="B12" t="inlineStr">
        <is>
          <t>段德浩</t>
        </is>
      </c>
      <c r="C12" t="inlineStr">
        <is>
          <t>2024级</t>
        </is>
      </c>
      <c r="D12" t="n">
        <v>37</v>
      </c>
      <c r="E12" t="inlineStr">
        <is>
          <t>前锋</t>
        </is>
      </c>
      <c r="F12" t="inlineStr"/>
      <c r="G12" t="inlineStr">
        <is>
          <t>右脚</t>
        </is>
      </c>
      <c r="H12" t="inlineStr"/>
      <c r="I12" t="inlineStr">
        <is>
          <t>2026年加入球队。</t>
        </is>
      </c>
      <c r="J12" t="inlineStr">
        <is>
          <t>duandehao.png</t>
        </is>
      </c>
      <c r="K12" t="inlineStr">
        <is>
          <t>50% 50%</t>
        </is>
      </c>
      <c r="L12" t="inlineStr">
        <is>
          <t>展示</t>
        </is>
      </c>
    </row>
  </sheetData>
  <autoFilter ref="A1:L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4" customWidth="1" min="4" max="4"/>
    <col width="14" customWidth="1" min="5" max="5"/>
    <col width="46" customWidth="1" min="6" max="6"/>
    <col width="38" customWidth="1" min="7" max="7"/>
    <col width="26" customWidth="1" min="8" max="8"/>
    <col width="14" customWidth="1" min="9" max="9"/>
    <col width="12" customWidth="1" min="10" max="10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加入赛季</t>
        </is>
      </c>
      <c r="E1" s="13" t="inlineStr">
        <is>
          <t>身份</t>
        </is>
      </c>
      <c r="F1" s="13" t="inlineStr">
        <is>
          <t>职责</t>
        </is>
      </c>
      <c r="G1" s="13" t="inlineStr">
        <is>
          <t>个人介绍</t>
        </is>
      </c>
      <c r="H1" s="13" t="inlineStr">
        <is>
          <t>照片文件名</t>
        </is>
      </c>
      <c r="I1" s="13" t="inlineStr">
        <is>
          <t>照片焦点</t>
        </is>
      </c>
      <c r="J1" s="13" t="inlineStr">
        <is>
          <t>展示状态</t>
        </is>
      </c>
    </row>
    <row r="2">
      <c r="A2" t="n">
        <v>1</v>
      </c>
      <c r="B2" t="inlineStr">
        <is>
          <t>陈晗韵</t>
        </is>
      </c>
      <c r="C2" t="inlineStr">
        <is>
          <t>2026级</t>
        </is>
      </c>
      <c r="D2" t="inlineStr">
        <is>
          <t>2026</t>
        </is>
      </c>
      <c r="E2" t="inlineStr">
        <is>
          <t>宣传经理</t>
        </is>
      </c>
      <c r="F2" t="inlineStr">
        <is>
          <t>比赛记录、日常事务</t>
        </is>
      </c>
      <c r="G2" t="inlineStr">
        <is>
          <t>事在人为</t>
        </is>
      </c>
      <c r="H2" t="inlineStr">
        <is>
          <t>chenhanyun.jpg</t>
        </is>
      </c>
      <c r="I2" t="inlineStr">
        <is>
          <t>50% 50%</t>
        </is>
      </c>
      <c r="J2" t="inlineStr">
        <is>
          <t>展示</t>
        </is>
      </c>
    </row>
    <row r="3">
      <c r="A3" t="n">
        <v>2</v>
      </c>
      <c r="B3" t="inlineStr">
        <is>
          <t>刘雨莹</t>
        </is>
      </c>
      <c r="C3" t="inlineStr">
        <is>
          <t>2025级</t>
        </is>
      </c>
      <c r="D3" t="inlineStr">
        <is>
          <t>2026</t>
        </is>
      </c>
      <c r="E3" t="inlineStr">
        <is>
          <t>球队经理</t>
        </is>
      </c>
      <c r="G3" t="inlineStr">
        <is>
          <t>欢迎加入我们球队，期待成为大家坚实的后盾</t>
        </is>
      </c>
      <c r="H3" t="inlineStr">
        <is>
          <t>liuyuying.png</t>
        </is>
      </c>
      <c r="I3" t="inlineStr">
        <is>
          <t>50% 50%</t>
        </is>
      </c>
      <c r="J3" t="inlineStr">
        <is>
          <t>展示</t>
        </is>
      </c>
    </row>
  </sheetData>
  <autoFilter ref="A1:J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6" customWidth="1" min="4" max="4"/>
    <col width="36" customWidth="1" min="5" max="5"/>
    <col width="36" customWidth="1" min="6" max="6"/>
    <col width="3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7" t="inlineStr">
        <is>
          <t>公告ID</t>
        </is>
      </c>
      <c r="B1" s="7" t="inlineStr">
        <is>
          <t>分类</t>
        </is>
      </c>
      <c r="C1" s="7" t="inlineStr">
        <is>
          <t>发布日期</t>
        </is>
      </c>
      <c r="D1" s="7" t="inlineStr">
        <is>
          <t>标题</t>
        </is>
      </c>
      <c r="E1" s="7" t="inlineStr">
        <is>
          <t>摘要</t>
        </is>
      </c>
      <c r="F1" s="7" t="inlineStr">
        <is>
          <t>正文</t>
        </is>
      </c>
      <c r="G1" s="7" t="inlineStr">
        <is>
          <t>名单</t>
        </is>
      </c>
      <c r="H1" s="7" t="inlineStr">
        <is>
          <t>配图</t>
        </is>
      </c>
      <c r="I1" s="7" t="inlineStr">
        <is>
          <t>图片说明</t>
        </is>
      </c>
      <c r="J1" s="7" t="inlineStr">
        <is>
          <t>关联链接</t>
        </is>
      </c>
      <c r="K1" s="7" t="inlineStr">
        <is>
          <t>链接文字</t>
        </is>
      </c>
      <c r="L1" s="7" t="inlineStr">
        <is>
          <t>发布状态</t>
        </is>
      </c>
      <c r="M1" s="7" t="inlineStr">
        <is>
          <t>置顶</t>
        </is>
      </c>
    </row>
    <row r="2" ht="190" customHeight="1">
      <c r="A2" t="inlineStr">
        <is>
          <t>welcome-2026</t>
        </is>
      </c>
      <c r="B2" t="inlineStr">
        <is>
          <t>新人加入</t>
        </is>
      </c>
      <c r="C2" t="inlineStr">
        <is>
          <t>2026-09-22</t>
        </is>
      </c>
      <c r="D2" t="inlineStr">
        <is>
          <t>欢迎2026级新队员加入生康足球队</t>
        </is>
      </c>
      <c r="E2" t="inlineStr">
        <is>
          <t>九位新面孔，带着对足球的热爱加入球队。欢迎你们，一起迎接新赛季。</t>
        </is>
      </c>
      <c r="F2" t="inlineStr">
        <is>
          <t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t>
        </is>
      </c>
      <c r="G2" t="inlineStr">
        <is>
          <t>段世添、何梁柱、肖思博、凌淇、雷振廷、蔡照、喻新旭、叶浩、杨锦泰</t>
        </is>
      </c>
      <c r="H2" t="inlineStr">
        <is>
          <t>assets/photos/newcomer-meetup-2026-09-15.jpg</t>
        </is>
      </c>
      <c r="I2" t="inlineStr">
        <is>
          <t>2026年9月15日 · 新生见面会合影</t>
        </is>
      </c>
      <c r="J2" t="inlineStr">
        <is>
          <t>#team</t>
        </is>
      </c>
      <c r="K2" t="inlineStr">
        <is>
          <t>认识新队员</t>
        </is>
      </c>
      <c r="L2" t="inlineStr">
        <is>
          <t>发布</t>
        </is>
      </c>
      <c r="M2" t="inlineStr">
        <is>
          <t>是</t>
        </is>
      </c>
    </row>
    <row r="3">
      <c r="A3" t="inlineStr">
        <is>
          <t>welcome-tianyangyang-2026</t>
        </is>
      </c>
      <c r="B3" t="inlineStr">
        <is>
          <t>新人加入</t>
        </is>
      </c>
      <c r="C3" t="inlineStr">
        <is>
          <t>2026-10-01</t>
        </is>
      </c>
      <c r="D3" t="inlineStr">
        <is>
          <t>欢迎2026级新队员田杨洋加入球队</t>
        </is>
      </c>
      <c r="E3" t="inlineStr">
        <is>
          <t>田杨洋的球员资料已上线：2026级，22号，后卫，惯用右脚。</t>
        </is>
      </c>
      <c r="F3" t="inlineStr">
        <is>
          <t>欢迎田杨洋加入生康足球队！期待在新赛季一起训练、并肩上场。</t>
        </is>
      </c>
      <c r="G3" t="inlineStr">
        <is>
          <t>田杨洋</t>
        </is>
      </c>
      <c r="H3" t="inlineStr">
        <is>
          <t>assets/players/showcase/tianyangyang-640.webp</t>
        </is>
      </c>
      <c r="I3" t="inlineStr">
        <is>
          <t>田杨洋 · 2026级 · 22号</t>
        </is>
      </c>
      <c r="J3" t="inlineStr">
        <is>
          <t>#team</t>
        </is>
      </c>
      <c r="K3" t="inlineStr">
        <is>
          <t>查看球队成员</t>
        </is>
      </c>
      <c r="L3" t="inlineStr">
        <is>
          <t>发布</t>
        </is>
      </c>
      <c r="M3" t="inlineStr">
        <is>
          <t>否</t>
        </is>
      </c>
    </row>
    <row r="4">
      <c r="A4" t="inlineStr">
        <is>
          <t>fangda-cup-draw-2026</t>
        </is>
      </c>
      <c r="B4" t="inlineStr">
        <is>
          <t>赛事预告</t>
        </is>
      </c>
      <c r="C4" t="inlineStr">
        <is>
          <t>2026-10-01</t>
        </is>
      </c>
      <c r="D4" t="inlineStr">
        <is>
          <t>纺大杯抽签结果及赛前注意事项</t>
        </is>
      </c>
      <c r="E4" t="inlineStr">
        <is>
          <t>生康分入D组，与材料、管理同组。小组赛采用积分制，前两名出线。请全体队员认真阅读赛前须知。</t>
        </is>
      </c>
      <c r="F4" t="inlineStr">
        <is>
          <t>一、抽签结果
A组：研究生、经济、南湖联队。
B组：机械、纺织、微电子。
C组：计算机、电气、化环。
D组：材料、生康、管理。
小组赛采用积分制，各组前两名出线。具体比赛时间待后续公布。
二、赛前须知（根据老师赛前通知整理）
1. 统一着装：队服、长袜、护腿板（长板子）。
2. 球鞋要求：必须穿足球鞋，不允许钢钉、铁钉、长钉，建议穿碎钉。
3. 换人流程：队内沟通好后，先找第四官员登记；先下后上，在一分钟内完成。下场可从任意位置离场，但上场只能从规定位置进入，否则可能被处罚。
4. 与裁判沟通：只有佩戴队长袖标的人可以与主裁判沟通，否则可能被处罚。
5. 特殊情况：无法比赛的院队，须提前24小时告知裁判组安排补赛，否则视为弃赛。
6. 到场与迟到：比赛前15分钟必须至少有7人到场；迟到15分钟之后不允许上场。
7. 判罚手势：各位队员须认识直接任意球、间接任意球、边线球等常见判罚手势。
8. 以哨声为准：球场上一切以主裁判哨声为主；主裁判若没有吹哨，比赛继续正常进行。
请全体队员提前检查装备，熟悉参赛要求，并留意后续赛程通知。</t>
        </is>
      </c>
      <c r="H4" t="inlineStr">
        <is>
          <t>assets/photos/fangda-cup-draw-2026.jpg</t>
        </is>
      </c>
      <c r="I4" t="inlineStr">
        <is>
          <t>本次纺大杯抽签结果（原图）</t>
        </is>
      </c>
      <c r="J4" t="inlineStr">
        <is>
          <t>#matches</t>
        </is>
      </c>
      <c r="K4" t="inlineStr">
        <is>
          <t>查看赛事栏目</t>
        </is>
      </c>
      <c r="L4" t="inlineStr">
        <is>
          <t>发布</t>
        </is>
      </c>
      <c r="M4" t="inlineStr">
        <is>
          <t>否</t>
        </is>
      </c>
    </row>
    <row r="5">
      <c r="A5" t="inlineStr">
        <is>
          <t>welcome-duandehao-2026</t>
        </is>
      </c>
      <c r="B5" t="inlineStr">
        <is>
          <t>新人加入</t>
        </is>
      </c>
      <c r="C5" t="inlineStr">
        <is>
          <t>2026-10-05</t>
        </is>
      </c>
      <c r="D5" t="inlineStr">
        <is>
          <t>欢迎段德浩加入生康足球队</t>
        </is>
      </c>
      <c r="E5" t="inlineStr">
        <is>
          <t>段德浩今年加入生康足球队：2024级，37号，前锋，惯用右脚。</t>
        </is>
      </c>
      <c r="F5" t="inlineStr">
        <is>
          <t>欢迎段德浩加入生康足球队！段德浩是2024级同学，今年正式加入球队，身披37号，司职前锋，惯用右脚。
期待他在训练和比赛中尽快融入球队，与大家一起为新赛季贡献力量。</t>
        </is>
      </c>
      <c r="G5" t="inlineStr">
        <is>
          <t>段德浩</t>
        </is>
      </c>
      <c r="H5" t="inlineStr">
        <is>
          <t>assets/players/showcase/duandehao-640.webp</t>
        </is>
      </c>
      <c r="I5" t="inlineStr">
        <is>
          <t>段德浩 · 2024级 · 37号</t>
        </is>
      </c>
      <c r="J5" t="inlineStr">
        <is>
          <t>#team</t>
        </is>
      </c>
      <c r="K5" t="inlineStr">
        <is>
          <t>查看球队成员</t>
        </is>
      </c>
      <c r="L5" t="inlineStr">
        <is>
          <t>发布</t>
        </is>
      </c>
      <c r="M5" t="inlineStr">
        <is>
          <t>否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2026-07-24T04:19:00Z</dcterms:created>
  <dcterms:modified xmlns:dcterms="http://purl.org/dc/terms/" xmlns:xsi="http://www.w3.org/2001/XMLSchema-instance" xsi:type="dcterms:W3CDTF">2026-10-05T06:50:33Z</dcterms:modified>
  <cp:lastModifiedBy>吴宇泽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1948FDF72CA0400A878CE7BAE4B792EE_12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