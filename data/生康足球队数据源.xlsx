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1"/>
  </bookViews>
  <sheets>
    <sheet name="统计汇总" sheetId="1" r:id="rId1"/>
    <sheet name="球员数据" sheetId="2" r:id="rId2"/>
    <sheet name="赛事索引" sheetId="3" r:id="rId3"/>
    <sheet name="赛程" sheetId="4" r:id="rId4"/>
  </sheets>
  <definedNames>
    <definedName name="_xlnm._FilterDatabase" localSheetId="1" hidden="1">球员数据!$A$1:$O$18</definedName>
    <definedName name="_xlnm._FilterDatabase" localSheetId="2" hidden="1">赛事索引!$A$1:$F$4</definedName>
    <definedName name="_xlnm._FilterDatabase" localSheetId="3" hidden="1">赛程!$A$1:$I$12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<sst xmlns="http://schemas.openxmlformats.org/spreadsheetml/2006/main" count="245" uniqueCount="172">
  <si>
    <t>生康足球队 · 球员数据汇总</t>
  </si>
  <si>
    <t>数据范围</t>
  </si>
  <si>
    <t>网站当前球员档案</t>
  </si>
  <si>
    <t>说明</t>
  </si>
  <si>
    <t>球员人数</t>
  </si>
  <si>
    <t>数据来源：网站 js/team-data.js</t>
  </si>
  <si>
    <t>总出场</t>
  </si>
  <si>
    <t>评分为网站现有记录，不做额外计算。</t>
  </si>
  <si>
    <t>总进球</t>
  </si>
  <si>
    <t>扑救与零封字段保留，当前未统计时为 0。</t>
  </si>
  <si>
    <t>总助攻</t>
  </si>
  <si>
    <t>后续只需更新“球员数据”工作表或网站源数据。</t>
  </si>
  <si>
    <t>总 MVP</t>
  </si>
  <si>
    <t>序号</t>
  </si>
  <si>
    <t>姓名</t>
  </si>
  <si>
    <t>绰号</t>
  </si>
  <si>
    <t>号码</t>
  </si>
  <si>
    <t>主位置</t>
  </si>
  <si>
    <t>可胜任位置</t>
  </si>
  <si>
    <t>出场</t>
  </si>
  <si>
    <t>进球</t>
  </si>
  <si>
    <t>助攻</t>
  </si>
  <si>
    <t>MVP</t>
  </si>
  <si>
    <t>扑救</t>
  </si>
  <si>
    <t>零封</t>
  </si>
  <si>
    <t>评分</t>
  </si>
  <si>
    <t>踢球风格</t>
  </si>
  <si>
    <t>代表数据</t>
  </si>
  <si>
    <t>吴宇成</t>
  </si>
  <si>
    <t>铁血后卫</t>
  </si>
  <si>
    <t>DF</t>
  </si>
  <si>
    <t>CB/CM/GK</t>
  </si>
  <si>
    <t>后场组织者/进攻型门将</t>
  </si>
  <si>
    <t>代育锐</t>
  </si>
  <si>
    <t>球王</t>
  </si>
  <si>
    <t>CB/LB</t>
  </si>
  <si>
    <t>组织型中后卫</t>
  </si>
  <si>
    <t>王伯函</t>
  </si>
  <si>
    <t>防守大闸</t>
  </si>
  <si>
    <t>LB/CB</t>
  </si>
  <si>
    <t>防守型边后卫</t>
  </si>
  <si>
    <t>刘航宇</t>
  </si>
  <si>
    <t>门神</t>
  </si>
  <si>
    <t>GK</t>
  </si>
  <si>
    <t>防守型门将</t>
  </si>
  <si>
    <t>曹维嘉</t>
  </si>
  <si>
    <t>能跑</t>
  </si>
  <si>
    <t>FW</t>
  </si>
  <si>
    <t>RB/RWF</t>
  </si>
  <si>
    <t>防守型边锋</t>
  </si>
  <si>
    <t>尚锐杰</t>
  </si>
  <si>
    <t>曾效力队员</t>
  </si>
  <si>
    <t>RB</t>
  </si>
  <si>
    <t>边后卫</t>
  </si>
  <si>
    <t>吴宇泽</t>
  </si>
  <si>
    <t>53</t>
  </si>
  <si>
    <t>LWF/CF</t>
  </si>
  <si>
    <t>抢点型前锋</t>
  </si>
  <si>
    <t>彭卓伦</t>
  </si>
  <si>
    <t>发牌</t>
  </si>
  <si>
    <t>MF</t>
  </si>
  <si>
    <t>AM/LWF</t>
  </si>
  <si>
    <t>组织型前锋</t>
  </si>
  <si>
    <t>周霄旭</t>
  </si>
  <si>
    <t>生康未来</t>
  </si>
  <si>
    <t>CF/RWF/AM</t>
  </si>
  <si>
    <t>全能前锋</t>
  </si>
  <si>
    <t>张俊</t>
  </si>
  <si>
    <t>全能王</t>
  </si>
  <si>
    <t>全能中场</t>
  </si>
  <si>
    <t>岑烨</t>
  </si>
  <si>
    <t>GK/CB</t>
  </si>
  <si>
    <t>李傲</t>
  </si>
  <si>
    <t>铁血</t>
  </si>
  <si>
    <t>边翼卫</t>
  </si>
  <si>
    <t>吴全银</t>
  </si>
  <si>
    <t>控场</t>
  </si>
  <si>
    <t>DM/RB</t>
  </si>
  <si>
    <t>陈亿霏</t>
  </si>
  <si>
    <t>寝室长</t>
  </si>
  <si>
    <t>LB</t>
  </si>
  <si>
    <t>何嗣承</t>
  </si>
  <si>
    <t>生康坎特</t>
  </si>
  <si>
    <t>DM/LB</t>
  </si>
  <si>
    <t>扫荡型中场</t>
  </si>
  <si>
    <t>曹志威</t>
  </si>
  <si>
    <t>活跃队员</t>
  </si>
  <si>
    <t>门将</t>
  </si>
  <si>
    <t>苗志梁</t>
  </si>
  <si>
    <t>足球文艺青年</t>
  </si>
  <si>
    <t>LB/LWB</t>
  </si>
  <si>
    <t>赛事 ID</t>
  </si>
  <si>
    <t>年份</t>
  </si>
  <si>
    <t>赛事名称</t>
  </si>
  <si>
    <t>显示名称</t>
  </si>
  <si>
    <t>状态</t>
  </si>
  <si>
    <t>赛事说明</t>
  </si>
  <si>
    <t>2025-eleven-fangda</t>
  </si>
  <si>
    <t>2025</t>
  </si>
  <si>
    <t>十一人制纺大杯</t>
  </si>
  <si>
    <t>建队后的首个赛事</t>
  </si>
  <si>
    <t>从临时凑齐队员、确定位置到真正踏上十一人制赛场，正式比赛从这里开始。</t>
  </si>
  <si>
    <t>2025-freshmen-cup</t>
  </si>
  <si>
    <t>八人制新生杯</t>
  </si>
  <si>
    <t>首届新生杯</t>
  </si>
  <si>
    <t>紧密赛程里，球队最终获得第七名。这是第一届新生杯，也是很高的起点。</t>
  </si>
  <si>
    <t>2026-eight-fangda</t>
  </si>
  <si>
    <t>2026</t>
  </si>
  <si>
    <t>八人制纺大杯</t>
  </si>
  <si>
    <t>最新赛事</t>
  </si>
  <si>
    <t>下学期唯一一项学院足球赛事。这里保留这段比赛记录。</t>
  </si>
  <si>
    <t>赛季</t>
  </si>
  <si>
    <t>日期</t>
  </si>
  <si>
    <t>对手</t>
  </si>
  <si>
    <t>比分</t>
  </si>
  <si>
    <t>赛果</t>
  </si>
  <si>
    <t>场地</t>
  </si>
  <si>
    <t>进球者</t>
  </si>
  <si>
    <t>赛事备注</t>
  </si>
  <si>
    <t>2025-2026</t>
  </si>
  <si>
    <t>2026-04-16</t>
  </si>
  <si>
    <t>材料学院</t>
  </si>
  <si>
    <t>0 : 3</t>
  </si>
  <si>
    <t>loss</t>
  </si>
  <si>
    <t>阳光校区足球场</t>
  </si>
  <si>
    <t>暂无进球记录</t>
  </si>
  <si>
    <t>八人制纺大杯对阵材料学院。</t>
  </si>
  <si>
    <t>2026-04-08</t>
  </si>
  <si>
    <t>机智学院</t>
  </si>
  <si>
    <t>2 : 6</t>
  </si>
  <si>
    <t>周霄旭 20′ / 周霄旭 40′</t>
  </si>
  <si>
    <t>周霄旭打入两球。</t>
  </si>
  <si>
    <t>2026-03-30</t>
  </si>
  <si>
    <t>管理学院</t>
  </si>
  <si>
    <t>2 : 3</t>
  </si>
  <si>
    <t>吴宇泽 12′ / 何嗣承 24′</t>
  </si>
  <si>
    <t>八人制纺大杯对阵管理学院。</t>
  </si>
  <si>
    <t>2025-12-18</t>
  </si>
  <si>
    <t>1 : 0</t>
  </si>
  <si>
    <t>win</t>
  </si>
  <si>
    <t>彭卓伦 40′</t>
  </si>
  <si>
    <t>最后一场大家轮换到不熟悉的位置，也更理解了队友的难处。</t>
  </si>
  <si>
    <t>2025-12-17</t>
  </si>
  <si>
    <t>计智学院</t>
  </si>
  <si>
    <t>0 : 1</t>
  </si>
  <si>
    <t>首次进入淘汰赛，球队最终获得第七名。</t>
  </si>
  <si>
    <t>2025-12-16</t>
  </si>
  <si>
    <t>南湖校区</t>
  </si>
  <si>
    <t>1 : 3</t>
  </si>
  <si>
    <t>周霄旭 62′</t>
  </si>
  <si>
    <t>紧密赛程中的一场比赛。</t>
  </si>
  <si>
    <t>2025-12-12</t>
  </si>
  <si>
    <t>化工学院</t>
  </si>
  <si>
    <t>2 : 0</t>
  </si>
  <si>
    <t>彭卓伦 30′ / 吴宇泽 42′</t>
  </si>
  <si>
    <t>小组赛第二场胜利。</t>
  </si>
  <si>
    <t>2025-12-08</t>
  </si>
  <si>
    <t>微电子学院</t>
  </si>
  <si>
    <t>吴宇泽 18′</t>
  </si>
  <si>
    <t>球队在新生杯拿到首胜。</t>
  </si>
  <si>
    <t>2025-12-03</t>
  </si>
  <si>
    <t>研究生</t>
  </si>
  <si>
    <t>0 : 5</t>
  </si>
  <si>
    <t>八人制新生杯的第一场记录。</t>
  </si>
  <si>
    <t>2025-10-28</t>
  </si>
  <si>
    <t>2 : 5</t>
  </si>
  <si>
    <t>吴宇泽 20′ / 吴宇泽 60′</t>
  </si>
  <si>
    <t>面对一直帮助球队的材料学院，继续在实战里学习。</t>
  </si>
  <si>
    <t>2025-10-14</t>
  </si>
  <si>
    <t>2 : 4</t>
  </si>
  <si>
    <t>周霄旭 20′ / 吴宇泽 40′</t>
  </si>
  <si>
    <t>球队十一人制正式首战，雨中作战，比分并非一边倒。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</si>
</sst>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</numFmts>
  <fonts count="24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6"/>
      <color rgb="FFFFFFFF"/>
      <name val="宋体"/>
      <charset val="134"/>
      <scheme val="minor"/>
    </font>
    <font>
      <b/>
      <sz val="11"/>
      <color rgb="FF0F3D2A"/>
      <name val="宋体"/>
      <charset val="134"/>
      <scheme val="minor"/>
    </font>
    <font>
      <b/>
      <sz val="13"/>
      <color rgb="FF1F7A4D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6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7" borderId="6">
      <alignment vertical="center"/>
    </xf>
    <xf numFmtId="0" fontId="14" fillId="8" borderId="7">
      <alignment vertical="center"/>
    </xf>
    <xf numFmtId="0" fontId="15" fillId="8" borderId="6">
      <alignment vertical="center"/>
    </xf>
    <xf numFmtId="0" fontId="16" fillId="9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3" fillId="34" borderId="0">
      <alignment vertical="center"/>
    </xf>
    <xf numFmtId="0" fontId="23" fillId="35" borderId="0">
      <alignment vertical="center"/>
    </xf>
    <xf numFmtId="0" fontId="22" fillId="36" borderId="0">
      <alignment vertical="center"/>
    </xf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/>
    </xf>
    <xf numFmtId="176" fontId="0" fillId="3" borderId="1" xfId="0" applyNumberFormat="1" applyFill="1" applyBorder="1" applyAlignment="1">
      <alignment vertical="center" wrapText="1"/>
    </xf>
    <xf numFmtId="176" fontId="0" fillId="4" borderId="1" xfId="0" applyNumberFormat="1" applyFill="1" applyBorder="1" applyAlignment="1">
      <alignment vertical="center" wrapText="1"/>
    </xf>
    <xf numFmtId="0" fontId="2" fillId="5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"/>
  <sheetViews>
    <sheetView showGridLines="0" workbookViewId="0">
      <selection activeCell="D30" sqref="D30"/>
    </sheetView>
  </sheetViews>
  <sheetFormatPr defaultColWidth="9" defaultRowHeight="13.5" outlineLevelRow="7" outlineLevelCol="3"/>
  <cols>
    <col min="1" max="1" width="16" customWidth="1"/>
    <col min="2" max="2" width="22" customWidth="1"/>
    <col min="3" max="3" width="4" customWidth="1"/>
    <col min="4" max="4" width="46" customWidth="1"/>
  </cols>
  <sheetData>
    <row r="1" ht="32" customHeight="1" spans="1:4">
      <c r="A1" s="7" t="s">
        <v>0</v>
      </c>
    </row>
    <row r="3" spans="1:4">
      <c r="A3" s="8" t="s">
        <v>1</v>
      </c>
      <c r="B3" s="2" t="s">
        <v>2</v>
      </c>
      <c r="C3" s="2"/>
      <c r="D3" s="8" t="s">
        <v>3</v>
      </c>
    </row>
    <row r="4" ht="15" customHeight="1" spans="1:4">
      <c r="A4" s="9" t="s">
        <v>4</v>
      </c>
      <c r="B4" s="10">
        <f>COUNTA(球员数据!B2:B18)</f>
        <v>17</v>
      </c>
      <c r="C4" s="3"/>
      <c r="D4" s="3" t="s">
        <v>5</v>
      </c>
    </row>
    <row r="5" ht="15" customHeight="1" spans="1:4">
      <c r="A5" s="8" t="s">
        <v>6</v>
      </c>
      <c r="B5" s="11">
        <f>SUM(球员数据!G2:G18)</f>
        <v>110</v>
      </c>
      <c r="C5" s="2"/>
      <c r="D5" s="2" t="s">
        <v>7</v>
      </c>
    </row>
    <row r="6" ht="15" customHeight="1" spans="1:4">
      <c r="A6" s="9" t="s">
        <v>8</v>
      </c>
      <c r="B6" s="10">
        <f>SUM(球员数据!H2:H18)</f>
        <v>13</v>
      </c>
      <c r="C6" s="3"/>
      <c r="D6" s="3" t="s">
        <v>9</v>
      </c>
    </row>
    <row r="7" ht="15" customHeight="1" spans="1:4">
      <c r="A7" s="8" t="s">
        <v>10</v>
      </c>
      <c r="B7" s="11">
        <f>SUM(球员数据!I2:I18)</f>
        <v>9</v>
      </c>
      <c r="C7" s="2"/>
      <c r="D7" s="2" t="s">
        <v>11</v>
      </c>
    </row>
    <row r="8" ht="15" customHeight="1" spans="1:4">
      <c r="A8" s="9" t="s">
        <v>12</v>
      </c>
      <c r="B8" s="10">
        <f>SUM(球员数据!J2:J18)</f>
        <v>0</v>
      </c>
      <c r="C8" s="3"/>
      <c r="D8" s="3"/>
    </row>
  </sheetData>
  <mergeCells count="1">
    <mergeCell ref="A1:D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showGridLines="0" tabSelected="1" workbookViewId="0">
      <pane ySplit="1" topLeftCell="A2" activePane="bottomLeft" state="frozen"/>
      <selection/>
      <selection pane="bottomLeft" activeCell="Q7" sqref="Q7"/>
    </sheetView>
  </sheetViews>
  <sheetFormatPr defaultColWidth="9" defaultRowHeight="13.5"/>
  <cols>
    <col min="1" max="1" width="8" customWidth="1"/>
    <col min="2" max="2" width="12" customWidth="1"/>
    <col min="3" max="3" width="16" customWidth="1"/>
    <col min="4" max="4" width="8" customWidth="1"/>
    <col min="5" max="5" width="10" customWidth="1"/>
    <col min="6" max="6" width="17" customWidth="1"/>
    <col min="7" max="12" width="9" customWidth="1"/>
    <col min="13" max="13" width="12" customWidth="1"/>
    <col min="14" max="14" width="20" customWidth="1"/>
    <col min="15" max="15" width="28" customWidth="1"/>
  </cols>
  <sheetData>
    <row r="1" ht="26" customHeight="1" spans="1:15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22</v>
      </c>
      <c r="K1" s="4" t="s">
        <v>23</v>
      </c>
      <c r="L1" s="4" t="s">
        <v>24</v>
      </c>
      <c r="M1" s="4" t="s">
        <v>25</v>
      </c>
      <c r="N1" s="4" t="s">
        <v>26</v>
      </c>
      <c r="O1" s="4" t="s">
        <v>27</v>
      </c>
    </row>
    <row r="2" ht="23" customHeight="1" spans="1:15">
      <c r="A2" s="2">
        <v>1</v>
      </c>
      <c r="B2" s="2" t="s">
        <v>28</v>
      </c>
      <c r="C2" s="2" t="s">
        <v>29</v>
      </c>
      <c r="D2" s="2">
        <v>6</v>
      </c>
      <c r="E2" s="2" t="s">
        <v>30</v>
      </c>
      <c r="F2" s="2" t="s">
        <v>31</v>
      </c>
      <c r="G2" s="2">
        <v>11</v>
      </c>
      <c r="H2" s="2">
        <v>0</v>
      </c>
      <c r="I2" s="2">
        <v>1</v>
      </c>
      <c r="J2" s="2">
        <v>0</v>
      </c>
      <c r="K2" s="2">
        <v>0</v>
      </c>
      <c r="L2" s="2">
        <v>0</v>
      </c>
      <c r="M2" s="5">
        <f t="shared" ref="M2:M18" si="0">ROUND(MIN(9.5,MAX(6,6+G2*0.08+H2*0.35+I2*0.25+J2*0.25+K2*0.03+L2*0.15)),1)</f>
        <v>7.1</v>
      </c>
      <c r="N2" s="2" t="s">
        <v>32</v>
      </c>
      <c r="O2" s="2" t="str">
        <f t="shared" ref="O2:O18" si="1">IF(H2&gt;0,IF(I2&gt;0,"贡献 "&amp;H2&amp;" 粒进球 / 送出 "&amp;I2&amp;" 次助攻","贡献 "&amp;H2&amp;" 粒进球"),IF(I2&gt;0,"送出 "&amp;I2&amp;" 次助攻","累计出场 "&amp;G2&amp;" 场"))</f>
        <v>送出 1 次助攻</v>
      </c>
    </row>
    <row r="3" ht="23" customHeight="1" spans="1:15">
      <c r="A3" s="3">
        <v>2</v>
      </c>
      <c r="B3" s="3" t="s">
        <v>33</v>
      </c>
      <c r="C3" s="3" t="s">
        <v>34</v>
      </c>
      <c r="D3" s="3">
        <v>10</v>
      </c>
      <c r="E3" s="3" t="s">
        <v>30</v>
      </c>
      <c r="F3" s="3" t="s">
        <v>35</v>
      </c>
      <c r="G3" s="3">
        <v>4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6">
        <f t="shared" si="0"/>
        <v>6.3</v>
      </c>
      <c r="N3" s="3" t="s">
        <v>36</v>
      </c>
      <c r="O3" s="3" t="str">
        <f t="shared" si="1"/>
        <v>累计出场 4 场</v>
      </c>
    </row>
    <row r="4" ht="23" customHeight="1" spans="1:15">
      <c r="A4" s="2">
        <v>3</v>
      </c>
      <c r="B4" s="2" t="s">
        <v>37</v>
      </c>
      <c r="C4" s="2" t="s">
        <v>38</v>
      </c>
      <c r="D4" s="2">
        <v>29</v>
      </c>
      <c r="E4" s="2" t="s">
        <v>30</v>
      </c>
      <c r="F4" s="2" t="s">
        <v>39</v>
      </c>
      <c r="G4" s="2">
        <v>9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5">
        <f t="shared" si="0"/>
        <v>6.7</v>
      </c>
      <c r="N4" s="2" t="s">
        <v>40</v>
      </c>
      <c r="O4" s="2" t="str">
        <f t="shared" si="1"/>
        <v>累计出场 9 场</v>
      </c>
    </row>
    <row r="5" ht="23" customHeight="1" spans="1:15">
      <c r="A5" s="3">
        <v>4</v>
      </c>
      <c r="B5" s="3" t="s">
        <v>41</v>
      </c>
      <c r="C5" s="3" t="s">
        <v>42</v>
      </c>
      <c r="D5" s="3">
        <v>0</v>
      </c>
      <c r="E5" s="3" t="s">
        <v>43</v>
      </c>
      <c r="F5" s="3" t="s">
        <v>43</v>
      </c>
      <c r="G5" s="3">
        <v>8</v>
      </c>
      <c r="H5" s="3">
        <v>0</v>
      </c>
      <c r="I5" s="3">
        <v>0</v>
      </c>
      <c r="J5" s="3">
        <v>0</v>
      </c>
      <c r="K5" s="3">
        <v>0</v>
      </c>
      <c r="L5" s="3">
        <v>1</v>
      </c>
      <c r="M5" s="6">
        <f t="shared" si="0"/>
        <v>6.8</v>
      </c>
      <c r="N5" s="3" t="s">
        <v>44</v>
      </c>
      <c r="O5" s="3" t="str">
        <f t="shared" si="1"/>
        <v>累计出场 8 场</v>
      </c>
    </row>
    <row r="6" ht="23" customHeight="1" spans="1:15">
      <c r="A6" s="2">
        <v>5</v>
      </c>
      <c r="B6" s="2" t="s">
        <v>45</v>
      </c>
      <c r="C6" s="2" t="s">
        <v>46</v>
      </c>
      <c r="D6" s="2">
        <v>23</v>
      </c>
      <c r="E6" s="2" t="s">
        <v>47</v>
      </c>
      <c r="F6" s="2" t="s">
        <v>48</v>
      </c>
      <c r="G6" s="2">
        <v>8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5">
        <f t="shared" si="0"/>
        <v>6.6</v>
      </c>
      <c r="N6" s="2" t="s">
        <v>49</v>
      </c>
      <c r="O6" s="2" t="str">
        <f t="shared" si="1"/>
        <v>累计出场 8 场</v>
      </c>
    </row>
    <row r="7" ht="23" customHeight="1" spans="1:15">
      <c r="A7" s="3">
        <v>6</v>
      </c>
      <c r="B7" s="3" t="s">
        <v>50</v>
      </c>
      <c r="C7" s="3" t="s">
        <v>51</v>
      </c>
      <c r="D7" s="3">
        <v>9</v>
      </c>
      <c r="E7" s="3" t="s">
        <v>30</v>
      </c>
      <c r="F7" s="3" t="s">
        <v>52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6">
        <f t="shared" si="0"/>
        <v>6</v>
      </c>
      <c r="N7" s="3" t="s">
        <v>53</v>
      </c>
      <c r="O7" s="3" t="str">
        <f t="shared" si="1"/>
        <v>累计出场 0 场</v>
      </c>
    </row>
    <row r="8" ht="23" customHeight="1" spans="1:15">
      <c r="A8" s="2">
        <v>7</v>
      </c>
      <c r="B8" s="2" t="s">
        <v>54</v>
      </c>
      <c r="C8" s="2" t="s">
        <v>55</v>
      </c>
      <c r="D8" s="2">
        <v>15</v>
      </c>
      <c r="E8" s="2" t="s">
        <v>47</v>
      </c>
      <c r="F8" s="2" t="s">
        <v>56</v>
      </c>
      <c r="G8" s="2">
        <v>11</v>
      </c>
      <c r="H8" s="2">
        <v>6</v>
      </c>
      <c r="I8" s="2">
        <v>1</v>
      </c>
      <c r="J8" s="2">
        <v>0</v>
      </c>
      <c r="K8" s="2">
        <v>0</v>
      </c>
      <c r="L8" s="2">
        <v>0</v>
      </c>
      <c r="M8" s="5">
        <f t="shared" si="0"/>
        <v>9.2</v>
      </c>
      <c r="N8" s="2" t="s">
        <v>57</v>
      </c>
      <c r="O8" s="2" t="str">
        <f t="shared" si="1"/>
        <v>贡献 6 粒进球 / 送出 1 次助攻</v>
      </c>
    </row>
    <row r="9" ht="23" customHeight="1" spans="1:15">
      <c r="A9" s="3">
        <v>8</v>
      </c>
      <c r="B9" s="3" t="s">
        <v>58</v>
      </c>
      <c r="C9" s="3" t="s">
        <v>59</v>
      </c>
      <c r="D9" s="3">
        <v>8</v>
      </c>
      <c r="E9" s="3" t="s">
        <v>60</v>
      </c>
      <c r="F9" s="3" t="s">
        <v>61</v>
      </c>
      <c r="G9" s="3">
        <v>8</v>
      </c>
      <c r="H9" s="3">
        <v>2</v>
      </c>
      <c r="I9" s="3">
        <v>3</v>
      </c>
      <c r="J9" s="3">
        <v>0</v>
      </c>
      <c r="K9" s="3">
        <v>0</v>
      </c>
      <c r="L9" s="3">
        <v>0</v>
      </c>
      <c r="M9" s="6">
        <f t="shared" si="0"/>
        <v>8.1</v>
      </c>
      <c r="N9" s="3" t="s">
        <v>62</v>
      </c>
      <c r="O9" s="3" t="str">
        <f t="shared" si="1"/>
        <v>贡献 2 粒进球 / 送出 3 次助攻</v>
      </c>
    </row>
    <row r="10" ht="23" customHeight="1" spans="1:15">
      <c r="A10" s="2">
        <v>9</v>
      </c>
      <c r="B10" s="2" t="s">
        <v>63</v>
      </c>
      <c r="C10" s="2" t="s">
        <v>64</v>
      </c>
      <c r="D10" s="2">
        <v>5</v>
      </c>
      <c r="E10" s="2" t="s">
        <v>47</v>
      </c>
      <c r="F10" s="2" t="s">
        <v>65</v>
      </c>
      <c r="G10" s="2">
        <v>10</v>
      </c>
      <c r="H10" s="2">
        <v>4</v>
      </c>
      <c r="I10" s="2">
        <v>3</v>
      </c>
      <c r="J10" s="2">
        <v>0</v>
      </c>
      <c r="K10" s="2">
        <v>0</v>
      </c>
      <c r="L10" s="2">
        <v>0</v>
      </c>
      <c r="M10" s="5">
        <f t="shared" si="0"/>
        <v>9</v>
      </c>
      <c r="N10" s="2" t="s">
        <v>66</v>
      </c>
      <c r="O10" s="2" t="str">
        <f t="shared" si="1"/>
        <v>贡献 4 粒进球 / 送出 3 次助攻</v>
      </c>
    </row>
    <row r="11" ht="23" customHeight="1" spans="1:15">
      <c r="A11" s="3">
        <v>10</v>
      </c>
      <c r="B11" s="3" t="s">
        <v>67</v>
      </c>
      <c r="C11" s="3" t="s">
        <v>68</v>
      </c>
      <c r="D11" s="3">
        <v>17</v>
      </c>
      <c r="E11" s="3" t="s">
        <v>30</v>
      </c>
      <c r="F11" s="3" t="s">
        <v>31</v>
      </c>
      <c r="G11" s="3">
        <v>6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6">
        <f t="shared" si="0"/>
        <v>6.5</v>
      </c>
      <c r="N11" s="3" t="s">
        <v>69</v>
      </c>
      <c r="O11" s="3" t="str">
        <f t="shared" si="1"/>
        <v>累计出场 6 场</v>
      </c>
    </row>
    <row r="12" ht="23" customHeight="1" spans="1:15">
      <c r="A12" s="2">
        <v>11</v>
      </c>
      <c r="B12" s="2" t="s">
        <v>70</v>
      </c>
      <c r="C12" s="2" t="s">
        <v>42</v>
      </c>
      <c r="D12" s="2">
        <v>18</v>
      </c>
      <c r="E12" s="2" t="s">
        <v>43</v>
      </c>
      <c r="F12" s="2" t="s">
        <v>71</v>
      </c>
      <c r="G12" s="2">
        <v>5</v>
      </c>
      <c r="H12" s="2">
        <v>0</v>
      </c>
      <c r="I12" s="2">
        <v>0</v>
      </c>
      <c r="J12" s="2">
        <v>0</v>
      </c>
      <c r="K12" s="2">
        <v>0</v>
      </c>
      <c r="L12" s="2">
        <v>1</v>
      </c>
      <c r="M12" s="5">
        <f t="shared" si="0"/>
        <v>6.6</v>
      </c>
      <c r="N12" s="2" t="s">
        <v>44</v>
      </c>
      <c r="O12" s="2" t="str">
        <f t="shared" si="1"/>
        <v>累计出场 5 场</v>
      </c>
    </row>
    <row r="13" ht="23" customHeight="1" spans="1:15">
      <c r="A13" s="3">
        <v>12</v>
      </c>
      <c r="B13" s="3" t="s">
        <v>72</v>
      </c>
      <c r="C13" s="3" t="s">
        <v>73</v>
      </c>
      <c r="D13" s="3">
        <v>19</v>
      </c>
      <c r="E13" s="3" t="s">
        <v>30</v>
      </c>
      <c r="F13" s="3" t="s">
        <v>52</v>
      </c>
      <c r="G13" s="3">
        <v>8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6">
        <f t="shared" si="0"/>
        <v>6.6</v>
      </c>
      <c r="N13" s="3" t="s">
        <v>74</v>
      </c>
      <c r="O13" s="3" t="str">
        <f t="shared" si="1"/>
        <v>累计出场 8 场</v>
      </c>
    </row>
    <row r="14" ht="23" customHeight="1" spans="1:15">
      <c r="A14" s="2">
        <v>13</v>
      </c>
      <c r="B14" s="2" t="s">
        <v>75</v>
      </c>
      <c r="C14" s="2" t="s">
        <v>76</v>
      </c>
      <c r="D14" s="2">
        <v>25</v>
      </c>
      <c r="E14" s="2" t="s">
        <v>60</v>
      </c>
      <c r="F14" s="2" t="s">
        <v>77</v>
      </c>
      <c r="G14" s="2">
        <v>6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5">
        <f t="shared" si="0"/>
        <v>6.5</v>
      </c>
      <c r="N14" s="2" t="s">
        <v>69</v>
      </c>
      <c r="O14" s="2" t="str">
        <f t="shared" si="1"/>
        <v>累计出场 6 场</v>
      </c>
    </row>
    <row r="15" ht="23" customHeight="1" spans="1:15">
      <c r="A15" s="3">
        <v>14</v>
      </c>
      <c r="B15" s="3" t="s">
        <v>78</v>
      </c>
      <c r="C15" s="3" t="s">
        <v>79</v>
      </c>
      <c r="D15" s="3">
        <v>66</v>
      </c>
      <c r="E15" s="3" t="s">
        <v>30</v>
      </c>
      <c r="F15" s="3" t="s">
        <v>80</v>
      </c>
      <c r="G15" s="3">
        <v>3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6">
        <f t="shared" si="0"/>
        <v>6.2</v>
      </c>
      <c r="N15" s="3" t="s">
        <v>53</v>
      </c>
      <c r="O15" s="3" t="str">
        <f t="shared" si="1"/>
        <v>累计出场 3 场</v>
      </c>
    </row>
    <row r="16" ht="23" customHeight="1" spans="1:15">
      <c r="A16" s="2">
        <v>15</v>
      </c>
      <c r="B16" s="2" t="s">
        <v>81</v>
      </c>
      <c r="C16" s="2" t="s">
        <v>82</v>
      </c>
      <c r="D16" s="2">
        <v>12</v>
      </c>
      <c r="E16" s="2" t="s">
        <v>60</v>
      </c>
      <c r="F16" s="2" t="s">
        <v>83</v>
      </c>
      <c r="G16" s="2">
        <v>10</v>
      </c>
      <c r="H16" s="2">
        <v>1</v>
      </c>
      <c r="I16" s="2">
        <v>1</v>
      </c>
      <c r="J16" s="2">
        <v>0</v>
      </c>
      <c r="K16" s="2">
        <v>0</v>
      </c>
      <c r="L16" s="2">
        <v>1</v>
      </c>
      <c r="M16" s="5">
        <f t="shared" si="0"/>
        <v>7.6</v>
      </c>
      <c r="N16" s="2" t="s">
        <v>84</v>
      </c>
      <c r="O16" s="2" t="str">
        <f t="shared" si="1"/>
        <v>贡献 1 粒进球 / 送出 1 次助攻</v>
      </c>
    </row>
    <row r="17" ht="23" customHeight="1" spans="1:15">
      <c r="A17" s="3">
        <v>16</v>
      </c>
      <c r="B17" s="3" t="s">
        <v>85</v>
      </c>
      <c r="C17" s="3" t="s">
        <v>86</v>
      </c>
      <c r="D17" s="3">
        <v>66</v>
      </c>
      <c r="E17" s="3" t="s">
        <v>43</v>
      </c>
      <c r="F17" s="3" t="s">
        <v>43</v>
      </c>
      <c r="G17" s="3">
        <v>1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6">
        <f t="shared" si="0"/>
        <v>6.1</v>
      </c>
      <c r="N17" s="3" t="s">
        <v>87</v>
      </c>
      <c r="O17" s="3" t="str">
        <f t="shared" si="1"/>
        <v>累计出场 1 场</v>
      </c>
    </row>
    <row r="18" ht="23" customHeight="1" spans="1:15">
      <c r="A18" s="2">
        <v>17</v>
      </c>
      <c r="B18" s="2" t="s">
        <v>88</v>
      </c>
      <c r="C18" s="2" t="s">
        <v>89</v>
      </c>
      <c r="D18" s="2">
        <v>15</v>
      </c>
      <c r="E18" s="2" t="s">
        <v>30</v>
      </c>
      <c r="F18" s="2" t="s">
        <v>90</v>
      </c>
      <c r="G18" s="2">
        <v>2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5">
        <f t="shared" si="0"/>
        <v>6.2</v>
      </c>
      <c r="N18" s="2" t="s">
        <v>53</v>
      </c>
      <c r="O18" s="2" t="str">
        <f t="shared" si="1"/>
        <v>累计出场 2 场</v>
      </c>
    </row>
  </sheetData>
  <autoFilter xmlns:etc="http://www.wps.cn/officeDocument/2017/etCustomData" ref="A1:O18" etc:filterBottomFollowUsedRange="0">
    <extLst/>
  </autoFilter>
  <conditionalFormatting sqref="M2:M18">
    <cfRule type="colorScale" priority="1">
      <colorScale>
        <cfvo type="min"/>
        <cfvo type="percentile" val="50"/>
        <cfvo type="max"/>
        <color rgb="FFF1E2E2"/>
        <color rgb="FFFFF2C2"/>
        <color rgb="FFCDE8D5"/>
      </colorScale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Row="3" outlineLevelCol="5"/>
  <cols>
    <col min="1" max="1" width="24" customWidth="1"/>
    <col min="2" max="2" width="10" customWidth="1"/>
    <col min="3" max="4" width="20" customWidth="1"/>
    <col min="5" max="5" width="18" customWidth="1"/>
    <col min="6" max="6" width="58" customWidth="1"/>
  </cols>
  <sheetData>
    <row r="1" ht="26" customHeight="1" spans="1:6">
      <c r="A1" s="1" t="s">
        <v>91</v>
      </c>
      <c r="B1" s="1" t="s">
        <v>92</v>
      </c>
      <c r="C1" s="1" t="s">
        <v>93</v>
      </c>
      <c r="D1" s="1" t="s">
        <v>94</v>
      </c>
      <c r="E1" s="1" t="s">
        <v>95</v>
      </c>
      <c r="F1" s="1" t="s">
        <v>96</v>
      </c>
    </row>
    <row r="2" ht="27" spans="1:6">
      <c r="A2" s="2" t="s">
        <v>97</v>
      </c>
      <c r="B2" s="2" t="s">
        <v>98</v>
      </c>
      <c r="C2" s="2" t="s">
        <v>99</v>
      </c>
      <c r="D2" s="2" t="s">
        <v>99</v>
      </c>
      <c r="E2" s="2" t="s">
        <v>100</v>
      </c>
      <c r="F2" s="2" t="s">
        <v>101</v>
      </c>
    </row>
    <row r="3" ht="27" spans="1:6">
      <c r="A3" s="3" t="s">
        <v>102</v>
      </c>
      <c r="B3" s="3" t="s">
        <v>98</v>
      </c>
      <c r="C3" s="3" t="s">
        <v>103</v>
      </c>
      <c r="D3" s="3" t="s">
        <v>103</v>
      </c>
      <c r="E3" s="3" t="s">
        <v>104</v>
      </c>
      <c r="F3" s="3" t="s">
        <v>105</v>
      </c>
    </row>
    <row r="4" spans="1:6">
      <c r="A4" s="2" t="s">
        <v>106</v>
      </c>
      <c r="B4" s="2" t="s">
        <v>107</v>
      </c>
      <c r="C4" s="2" t="s">
        <v>108</v>
      </c>
      <c r="D4" s="2" t="s">
        <v>108</v>
      </c>
      <c r="E4" s="2" t="s">
        <v>109</v>
      </c>
      <c r="F4" s="2" t="s">
        <v>110</v>
      </c>
    </row>
  </sheetData>
  <autoFilter xmlns:etc="http://www.wps.cn/officeDocument/2017/etCustomData" ref="A1:F4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1" width="14" customWidth="1"/>
    <col min="2" max="2" width="20" customWidth="1"/>
    <col min="3" max="3" width="14" customWidth="1"/>
    <col min="4" max="4" width="16" customWidth="1"/>
    <col min="5" max="5" width="12" customWidth="1"/>
    <col min="6" max="6" width="10" customWidth="1"/>
    <col min="7" max="7" width="22" customWidth="1"/>
    <col min="8" max="8" width="28" customWidth="1"/>
    <col min="9" max="9" width="44" customWidth="1"/>
  </cols>
  <sheetData>
    <row r="1" ht="26" customHeight="1" spans="1:9">
      <c r="A1" s="1" t="s">
        <v>111</v>
      </c>
      <c r="B1" s="1" t="s">
        <v>93</v>
      </c>
      <c r="C1" s="1" t="s">
        <v>112</v>
      </c>
      <c r="D1" s="1" t="s">
        <v>113</v>
      </c>
      <c r="E1" s="1" t="s">
        <v>114</v>
      </c>
      <c r="F1" s="1" t="s">
        <v>115</v>
      </c>
      <c r="G1" s="1" t="s">
        <v>116</v>
      </c>
      <c r="H1" s="1" t="s">
        <v>117</v>
      </c>
      <c r="I1" s="1" t="s">
        <v>118</v>
      </c>
    </row>
    <row r="2" spans="1:9">
      <c r="A2" s="2" t="s">
        <v>119</v>
      </c>
      <c r="B2" s="2" t="s">
        <v>108</v>
      </c>
      <c r="C2" s="2" t="s">
        <v>120</v>
      </c>
      <c r="D2" s="2" t="s">
        <v>121</v>
      </c>
      <c r="E2" s="2" t="s">
        <v>122</v>
      </c>
      <c r="F2" s="2" t="s">
        <v>123</v>
      </c>
      <c r="G2" s="2" t="s">
        <v>124</v>
      </c>
      <c r="H2" s="2" t="s">
        <v>125</v>
      </c>
      <c r="I2" s="2" t="s">
        <v>126</v>
      </c>
    </row>
    <row r="3" spans="1:9">
      <c r="A3" s="3" t="s">
        <v>119</v>
      </c>
      <c r="B3" s="3" t="s">
        <v>108</v>
      </c>
      <c r="C3" s="3" t="s">
        <v>127</v>
      </c>
      <c r="D3" s="3" t="s">
        <v>128</v>
      </c>
      <c r="E3" s="3" t="s">
        <v>129</v>
      </c>
      <c r="F3" s="3" t="s">
        <v>123</v>
      </c>
      <c r="G3" s="3" t="s">
        <v>124</v>
      </c>
      <c r="H3" s="3" t="s">
        <v>130</v>
      </c>
      <c r="I3" s="3" t="s">
        <v>131</v>
      </c>
    </row>
    <row r="4" spans="1:9">
      <c r="A4" s="2" t="s">
        <v>119</v>
      </c>
      <c r="B4" s="2" t="s">
        <v>108</v>
      </c>
      <c r="C4" s="2" t="s">
        <v>132</v>
      </c>
      <c r="D4" s="2" t="s">
        <v>133</v>
      </c>
      <c r="E4" s="2" t="s">
        <v>134</v>
      </c>
      <c r="F4" s="2" t="s">
        <v>123</v>
      </c>
      <c r="G4" s="2" t="s">
        <v>124</v>
      </c>
      <c r="H4" s="2" t="s">
        <v>135</v>
      </c>
      <c r="I4" s="2" t="s">
        <v>136</v>
      </c>
    </row>
    <row r="5" ht="27" spans="1:9">
      <c r="A5" s="3" t="s">
        <v>119</v>
      </c>
      <c r="B5" s="3" t="s">
        <v>103</v>
      </c>
      <c r="C5" s="3" t="s">
        <v>137</v>
      </c>
      <c r="D5" s="3" t="s">
        <v>133</v>
      </c>
      <c r="E5" s="3" t="s">
        <v>138</v>
      </c>
      <c r="F5" s="3" t="s">
        <v>139</v>
      </c>
      <c r="G5" s="3" t="s">
        <v>124</v>
      </c>
      <c r="H5" s="3" t="s">
        <v>140</v>
      </c>
      <c r="I5" s="3" t="s">
        <v>141</v>
      </c>
    </row>
    <row r="6" spans="1:9">
      <c r="A6" s="2" t="s">
        <v>119</v>
      </c>
      <c r="B6" s="2" t="s">
        <v>103</v>
      </c>
      <c r="C6" s="2" t="s">
        <v>142</v>
      </c>
      <c r="D6" s="2" t="s">
        <v>143</v>
      </c>
      <c r="E6" s="2" t="s">
        <v>144</v>
      </c>
      <c r="F6" s="2" t="s">
        <v>123</v>
      </c>
      <c r="G6" s="2" t="s">
        <v>124</v>
      </c>
      <c r="H6" s="2" t="s">
        <v>125</v>
      </c>
      <c r="I6" s="2" t="s">
        <v>145</v>
      </c>
    </row>
    <row r="7" spans="1:9">
      <c r="A7" s="3" t="s">
        <v>119</v>
      </c>
      <c r="B7" s="3" t="s">
        <v>103</v>
      </c>
      <c r="C7" s="3" t="s">
        <v>146</v>
      </c>
      <c r="D7" s="3" t="s">
        <v>147</v>
      </c>
      <c r="E7" s="3" t="s">
        <v>148</v>
      </c>
      <c r="F7" s="3" t="s">
        <v>123</v>
      </c>
      <c r="G7" s="3" t="s">
        <v>124</v>
      </c>
      <c r="H7" s="3" t="s">
        <v>149</v>
      </c>
      <c r="I7" s="3" t="s">
        <v>150</v>
      </c>
    </row>
    <row r="8" spans="1:9">
      <c r="A8" s="2" t="s">
        <v>119</v>
      </c>
      <c r="B8" s="2" t="s">
        <v>103</v>
      </c>
      <c r="C8" s="2" t="s">
        <v>151</v>
      </c>
      <c r="D8" s="2" t="s">
        <v>152</v>
      </c>
      <c r="E8" s="2" t="s">
        <v>153</v>
      </c>
      <c r="F8" s="2" t="s">
        <v>139</v>
      </c>
      <c r="G8" s="2" t="s">
        <v>124</v>
      </c>
      <c r="H8" s="2" t="s">
        <v>154</v>
      </c>
      <c r="I8" s="2" t="s">
        <v>155</v>
      </c>
    </row>
    <row r="9" spans="1:9">
      <c r="A9" s="3" t="s">
        <v>119</v>
      </c>
      <c r="B9" s="3" t="s">
        <v>103</v>
      </c>
      <c r="C9" s="3" t="s">
        <v>156</v>
      </c>
      <c r="D9" s="3" t="s">
        <v>157</v>
      </c>
      <c r="E9" s="3" t="s">
        <v>138</v>
      </c>
      <c r="F9" s="3" t="s">
        <v>139</v>
      </c>
      <c r="G9" s="3" t="s">
        <v>124</v>
      </c>
      <c r="H9" s="3" t="s">
        <v>158</v>
      </c>
      <c r="I9" s="3" t="s">
        <v>159</v>
      </c>
    </row>
    <row r="10" spans="1:9">
      <c r="A10" s="2" t="s">
        <v>119</v>
      </c>
      <c r="B10" s="2" t="s">
        <v>103</v>
      </c>
      <c r="C10" s="2" t="s">
        <v>160</v>
      </c>
      <c r="D10" s="2" t="s">
        <v>161</v>
      </c>
      <c r="E10" s="2" t="s">
        <v>162</v>
      </c>
      <c r="F10" s="2" t="s">
        <v>123</v>
      </c>
      <c r="G10" s="2" t="s">
        <v>124</v>
      </c>
      <c r="H10" s="2" t="s">
        <v>125</v>
      </c>
      <c r="I10" s="2" t="s">
        <v>163</v>
      </c>
    </row>
    <row r="11" spans="1:9">
      <c r="A11" s="3" t="s">
        <v>119</v>
      </c>
      <c r="B11" s="3" t="s">
        <v>99</v>
      </c>
      <c r="C11" s="3" t="s">
        <v>164</v>
      </c>
      <c r="D11" s="3" t="s">
        <v>121</v>
      </c>
      <c r="E11" s="3" t="s">
        <v>165</v>
      </c>
      <c r="F11" s="3" t="s">
        <v>123</v>
      </c>
      <c r="G11" s="3" t="s">
        <v>124</v>
      </c>
      <c r="H11" s="3" t="s">
        <v>166</v>
      </c>
      <c r="I11" s="3" t="s">
        <v>167</v>
      </c>
    </row>
    <row r="12" ht="27" spans="1:9">
      <c r="A12" s="2" t="s">
        <v>119</v>
      </c>
      <c r="B12" s="2" t="s">
        <v>99</v>
      </c>
      <c r="C12" s="2" t="s">
        <v>168</v>
      </c>
      <c r="D12" s="2" t="s">
        <v>133</v>
      </c>
      <c r="E12" s="2" t="s">
        <v>169</v>
      </c>
      <c r="F12" s="2" t="s">
        <v>123</v>
      </c>
      <c r="G12" s="2" t="s">
        <v>124</v>
      </c>
      <c r="H12" s="2" t="s">
        <v>170</v>
      </c>
      <c r="I12" s="2" t="s">
        <v>171</v>
      </c>
    </row>
  </sheetData>
  <autoFilter xmlns:etc="http://www.wps.cn/officeDocument/2017/etCustomData" ref="A1:I12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统计汇总</vt:lpstr>
      <vt:lpstr>球员数据</vt:lpstr>
      <vt:lpstr>赛事索引</vt:lpstr>
      <vt:lpstr>赛程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吴宇泽</cp:lastModifiedBy>
  <dcterms:created xsi:type="dcterms:W3CDTF">2026-07-24T04:19:00Z</dcterms:created>
  <dcterms:modified xsi:type="dcterms:W3CDTF">2026-07-24T04:56:32Z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1948FDF72CA0400A878CE7BAE4B792EE_12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