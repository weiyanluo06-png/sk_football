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5babbadfc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汇总" sheetId="1" r:id="R2c5b554c4d6d4a99"/>
    <x:sheet xmlns:r="http://schemas.openxmlformats.org/officeDocument/2006/relationships" name="球员数据" sheetId="2" r:id="R1eb719d4c1724adc"/>
    <x:sheet xmlns:r="http://schemas.openxmlformats.org/officeDocument/2006/relationships" name="赛事索引" sheetId="3" r:id="R45ac1a176d554a24"/>
    <x:sheet xmlns:r="http://schemas.openxmlformats.org/officeDocument/2006/relationships" name="赛程" sheetId="4" r:id="Rcb91ad5e5b414d05"/>
    <x:sheet xmlns:r="http://schemas.openxmlformats.org/officeDocument/2006/relationships" name="新生展示" sheetId="5" r:id="Rede4719198774f55"/>
    <x:sheet xmlns:r="http://schemas.openxmlformats.org/officeDocument/2006/relationships" name="球队经理" sheetId="6" r:id="R7b77c69007774742"/>
    <x:sheet xmlns:r="http://schemas.openxmlformats.org/officeDocument/2006/relationships" name="通知公告" sheetId="7" r:id="Rb1081fabbf67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200" formatCode="yyyy-mm-dd"/>
  </x:numFmts>
  <x:fonts count="25">
    <x:font>
      <x:sz val="11"/>
      <x:color theme="1"/>
      <x:name val="宋体"/>
      <x:scheme val="minor"/>
    </x:font>
    <x:font>
      <x:b/>
      <x:sz val="11"/>
      <x:color rgb="FFFFFFFF"/>
      <x:name val="宋体"/>
      <x:scheme val="minor"/>
    </x:font>
    <x:font>
      <x:b/>
      <x:sz val="16"/>
      <x:color rgb="FFFFFFFF"/>
      <x:name val="宋体"/>
      <x:scheme val="minor"/>
    </x:font>
    <x:font>
      <x:b/>
      <x:sz val="11"/>
      <x:color rgb="FF0F3D2A"/>
      <x:name val="宋体"/>
      <x:scheme val="minor"/>
    </x:font>
    <x:font>
      <x:b/>
      <x:sz val="13"/>
      <x:color rgb="FF1F7A4D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color rgb="FFFFFFFF"/>
    </x:font>
  </x:fonts>
  <x:fills count="40">
    <x:fill>
      <x:patternFill patternType="none"/>
    </x:fill>
    <x:fill>
      <x:patternFill patternType="gray125"/>
    </x:fill>
    <x:fill>
      <x:patternFill patternType="solid">
        <x:fgColor rgb="FF1F7A4D"/>
      </x:patternFill>
    </x:fill>
    <x:fill>
      <x:patternFill patternType="solid">
        <x:fgColor rgb="FFFFFDF8"/>
      </x:patternFill>
    </x:fill>
    <x:fill>
      <x:patternFill patternType="solid">
        <x:fgColor rgb="FFEAF3EC"/>
      </x:patternFill>
    </x:fill>
    <x:fill>
      <x:patternFill patternType="solid">
        <x:fgColor rgb="FF0F3D2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7A4D"/>
      </x:patternFill>
    </x:fill>
    <x:fill>
      <x:patternFill patternType="solid">
        <x:fgColor rgb="FFFFFDF8"/>
      </x:patternFill>
    </x:fill>
    <x:fill>
      <x:patternFill patternType="solid">
        <x:fgColor rgb="FFEAF3EC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B9D7C2"/>
      </x:bottom>
      <x:diagonal/>
    </x:border>
    <x:border>
      <x:left/>
      <x:right/>
      <x:top/>
      <x:bottom style="medium">
        <x:color rgb="FF0F3D2A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bottom style="thin">
        <x:color rgb="FFB9D7C2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0" fillId="6" borderId="3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4" applyAlignment="1">
      <x:alignment vertical="center"/>
    </x:xf>
    <x:xf numFmtId="0" fontId="11" fillId="0" borderId="4" applyAlignment="1">
      <x:alignment vertical="center"/>
    </x:xf>
    <x:xf numFmtId="0" fontId="12" fillId="0" borderId="5" applyAlignment="1">
      <x:alignment vertical="center"/>
    </x:xf>
    <x:xf numFmtId="0" fontId="12" fillId="0" borderId="0" applyAlignment="1">
      <x:alignment vertical="center"/>
    </x:xf>
    <x:xf numFmtId="0" fontId="13" fillId="7" borderId="6" applyAlignment="1">
      <x:alignment vertical="center"/>
    </x:xf>
    <x:xf numFmtId="0" fontId="14" fillId="8" borderId="7" applyAlignment="1">
      <x:alignment vertical="center"/>
    </x:xf>
    <x:xf numFmtId="0" fontId="15" fillId="8" borderId="6" applyAlignment="1">
      <x:alignment vertical="center"/>
    </x:xf>
    <x:xf numFmtId="0" fontId="16" fillId="9" borderId="8" applyAlignment="1">
      <x:alignment vertical="center"/>
    </x:xf>
    <x:xf numFmtId="0" fontId="17" fillId="0" borderId="9" applyAlignment="1">
      <x:alignment vertical="center"/>
    </x:xf>
    <x:xf numFmtId="0" fontId="18" fillId="0" borderId="10" applyAlignment="1">
      <x:alignment vertical="center"/>
    </x:xf>
    <x:xf numFmtId="0" fontId="19" fillId="10" borderId="0" applyAlignment="1">
      <x:alignment vertical="center"/>
    </x:xf>
    <x:xf numFmtId="0" fontId="20" fillId="11" borderId="0" applyAlignment="1">
      <x:alignment vertical="center"/>
    </x:xf>
    <x:xf numFmtId="0" fontId="21" fillId="12" borderId="0" applyAlignment="1">
      <x:alignment vertical="center"/>
    </x:xf>
    <x:xf numFmtId="0" fontId="22" fillId="13" borderId="0" applyAlignment="1">
      <x:alignment vertical="center"/>
    </x:xf>
    <x:xf numFmtId="0" fontId="23" fillId="14" borderId="0" applyAlignment="1">
      <x:alignment vertical="center"/>
    </x:xf>
    <x:xf numFmtId="0" fontId="23" fillId="15" borderId="0" applyAlignment="1">
      <x:alignment vertical="center"/>
    </x:xf>
    <x:xf numFmtId="0" fontId="22" fillId="16" borderId="0" applyAlignment="1">
      <x:alignment vertical="center"/>
    </x:xf>
    <x:xf numFmtId="0" fontId="22" fillId="17" borderId="0" applyAlignment="1">
      <x:alignment vertical="center"/>
    </x:xf>
    <x:xf numFmtId="0" fontId="23" fillId="18" borderId="0" applyAlignment="1">
      <x:alignment vertical="center"/>
    </x:xf>
    <x:xf numFmtId="0" fontId="23" fillId="19" borderId="0" applyAlignment="1">
      <x:alignment vertical="center"/>
    </x:xf>
    <x:xf numFmtId="0" fontId="22" fillId="20" borderId="0" applyAlignment="1">
      <x:alignment vertical="center"/>
    </x:xf>
    <x:xf numFmtId="0" fontId="22" fillId="21" borderId="0" applyAlignment="1">
      <x:alignment vertical="center"/>
    </x:xf>
    <x:xf numFmtId="0" fontId="23" fillId="22" borderId="0" applyAlignment="1">
      <x:alignment vertical="center"/>
    </x:xf>
    <x:xf numFmtId="0" fontId="23" fillId="23" borderId="0" applyAlignment="1">
      <x:alignment vertical="center"/>
    </x:xf>
    <x:xf numFmtId="0" fontId="22" fillId="24" borderId="0" applyAlignment="1">
      <x:alignment vertical="center"/>
    </x:xf>
    <x:xf numFmtId="0" fontId="22" fillId="25" borderId="0" applyAlignment="1">
      <x:alignment vertical="center"/>
    </x:xf>
    <x:xf numFmtId="0" fontId="23" fillId="26" borderId="0" applyAlignment="1">
      <x:alignment vertical="center"/>
    </x:xf>
    <x:xf numFmtId="0" fontId="23" fillId="27" borderId="0" applyAlignment="1">
      <x:alignment vertical="center"/>
    </x:xf>
    <x:xf numFmtId="0" fontId="22" fillId="28" borderId="0" applyAlignment="1">
      <x:alignment vertical="center"/>
    </x:xf>
    <x:xf numFmtId="0" fontId="22" fillId="29" borderId="0" applyAlignment="1">
      <x:alignment vertical="center"/>
    </x:xf>
    <x:xf numFmtId="0" fontId="23" fillId="30" borderId="0" applyAlignment="1">
      <x:alignment vertical="center"/>
    </x:xf>
    <x:xf numFmtId="0" fontId="23" fillId="31" borderId="0" applyAlignment="1">
      <x:alignment vertical="center"/>
    </x:xf>
    <x:xf numFmtId="0" fontId="22" fillId="32" borderId="0" applyAlignment="1">
      <x:alignment vertical="center"/>
    </x:xf>
    <x:xf numFmtId="0" fontId="22" fillId="33" borderId="0" applyAlignment="1">
      <x:alignment vertical="center"/>
    </x:xf>
    <x:xf numFmtId="0" fontId="23" fillId="34" borderId="0" applyAlignment="1">
      <x:alignment vertical="center"/>
    </x:xf>
    <x:xf numFmtId="0" fontId="23" fillId="35" borderId="0" applyAlignment="1">
      <x:alignment vertical="center"/>
    </x:xf>
    <x:xf numFmtId="0" fontId="22" fillId="36" borderId="0" applyAlignment="1">
      <x:alignment vertical="center"/>
    </x:xf>
  </x:cellStyleXfs>
  <x:cellXfs count="19">
    <x:xf numFmtId="0" fontId="0" fillId="0" borderId="0" xfId="0"/>
    <x:xf numFmtId="0" fontId="1" fillId="2" borderId="0" xfId="0" applyAlignment="1">
      <x:alignment horizontal="center" vertical="center"/>
    </x:xf>
    <x:xf numFmtId="0" fontId="0" fillId="3" borderId="1" xfId="0" applyAlignment="1">
      <x:alignment vertical="center" wrapText="1"/>
    </x:xf>
    <x:xf numFmtId="0" fontId="0" fillId="4" borderId="1" xfId="0" applyAlignment="1">
      <x:alignment vertical="center" wrapText="1"/>
    </x:xf>
    <x:xf numFmtId="0" fontId="1" fillId="2" borderId="2" xfId="0" applyAlignment="1">
      <x:alignment horizontal="center" vertical="center"/>
    </x:xf>
    <x:xf numFmtId="164" fontId="0" fillId="3" borderId="1" xfId="0" applyAlignment="1">
      <x:alignment vertical="center" wrapText="1"/>
    </x:xf>
    <x:xf numFmtId="164" fontId="0" fillId="4" borderId="1" xfId="0" applyAlignment="1">
      <x:alignment vertical="center" wrapText="1"/>
    </x:xf>
    <x:xf numFmtId="0" fontId="2" fillId="5" borderId="0" xfId="0" applyAlignment="1">
      <x:alignment horizontal="center" vertical="center"/>
    </x:xf>
    <x:xf numFmtId="0" fontId="3" fillId="3" borderId="1" xfId="0" applyAlignment="1">
      <x:alignment vertical="center" wrapText="1"/>
    </x:xf>
    <x:xf numFmtId="0" fontId="3" fillId="4" borderId="1" xfId="0" applyAlignment="1">
      <x:alignment vertical="center" wrapText="1"/>
    </x:xf>
    <x:xf numFmtId="0" fontId="4" fillId="4" borderId="1" xfId="0" applyAlignment="1">
      <x:alignment vertical="center" wrapText="1"/>
    </x:xf>
    <x:xf numFmtId="0" fontId="4" fillId="3" borderId="1" xfId="0" applyAlignment="1">
      <x:alignment vertical="center" wrapText="1"/>
    </x:xf>
    <x:xf numFmtId="0" fontId="24" fillId="37" borderId="2" xfId="0" applyAlignment="1">
      <x:alignment horizontal="center" vertical="center"/>
    </x:xf>
    <x:xf numFmtId="0" fontId="24" fillId="37" borderId="0" xfId="0" applyAlignment="1">
      <x:alignment horizontal="center" vertical="center"/>
    </x:xf>
    <x:xf numFmtId="0" fontId="0" fillId="38" borderId="11" xfId="0" applyAlignment="1">
      <x:alignment vertical="center" wrapText="1"/>
    </x:xf>
    <x:xf numFmtId="164" fontId="0" fillId="38" borderId="11" xfId="0" applyAlignment="1">
      <x:alignment vertical="center" wrapText="1"/>
    </x:xf>
    <x:xf numFmtId="0" fontId="0" fillId="39" borderId="11" xfId="0" applyAlignment="1">
      <x:alignment vertical="center" wrapText="1"/>
    </x:xf>
    <x:xf numFmtId="164" fontId="0" fillId="39" borderId="11" xfId="0" applyAlignment="1">
      <x:alignment vertical="center" wrapText="1"/>
    </x:xf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31b3ccf61468b" /><Relationship Type="http://schemas.openxmlformats.org/officeDocument/2006/relationships/theme" Target="/xl/theme/theme1.xml" Id="R780a1a2e171d4882" /><Relationship Type="http://schemas.openxmlformats.org/officeDocument/2006/relationships/sharedStrings" Target="/xl/sharedStrings.xml" Id="Rba84af2de78e4d0c" /><Relationship Type="http://schemas.openxmlformats.org/officeDocument/2006/relationships/worksheet" Target="/xl/worksheets/sheet1.xml" Id="R2c5b554c4d6d4a99" /><Relationship Type="http://schemas.openxmlformats.org/officeDocument/2006/relationships/worksheet" Target="/xl/worksheets/sheet2.xml" Id="R1eb719d4c1724adc" /><Relationship Type="http://schemas.openxmlformats.org/officeDocument/2006/relationships/worksheet" Target="/xl/worksheets/sheet3.xml" Id="R45ac1a176d554a24" /><Relationship Type="http://schemas.openxmlformats.org/officeDocument/2006/relationships/worksheet" Target="/xl/worksheets/sheet4.xml" Id="Rcb91ad5e5b414d05" /><Relationship Type="http://schemas.openxmlformats.org/officeDocument/2006/relationships/worksheet" Target="/xl/worksheets/sheet5.xml" Id="Rede4719198774f55" /><Relationship Type="http://schemas.openxmlformats.org/officeDocument/2006/relationships/worksheet" Target="/xl/worksheets/sheet6.xml" Id="R7b77c69007774742" /><Relationship Type="http://schemas.openxmlformats.org/officeDocument/2006/relationships/worksheet" Target="/xl/worksheets/sheet7.xml" Id="Rb1081fabbf6748ec" /></Relationships>
</file>

<file path=xl/tables/table1.xml><?xml version="1.0" encoding="utf-8"?>
<x:table xmlns:x="http://schemas.openxmlformats.org/spreadsheetml/2006/main" id="1" name="PlayerStats" displayName="PlayerStats" ref="A1:O18" headerRowCount="1">
  <x:autoFilter ref="A1:O18"/>
  <x:tableColumns count="15">
    <x:tableColumn id="1" name="序号"/>
    <x:tableColumn id="2" name="姓名"/>
    <x:tableColumn id="3" name="绰号"/>
    <x:tableColumn id="4" name="号码"/>
    <x:tableColumn id="5" name="主位置"/>
    <x:tableColumn id="6" name="可胜任位置"/>
    <x:tableColumn id="7" name="出场"/>
    <x:tableColumn id="8" name="进球"/>
    <x:tableColumn id="9" name="助攻"/>
    <x:tableColumn id="10" name="MVP"/>
    <x:tableColumn id="11" name="零封"/>
    <x:tableColumn id="12" name="低失球场"/>
    <x:tableColumn id="13" name="评分"/>
    <x:tableColumn id="14" name="踢球风格"/>
    <x:tableColumn id="15" name="代表数据"/>
  </x:tableColumns>
  <x:tableStyleInfo name="TableStyleMedium4" showFirstColumn="0" showLastColumn="0" showRowStripes="0" showColumnStripes="0"/>
</x:table>
</file>

<file path=xl/tables/table2.xml><?xml version="1.0" encoding="utf-8"?>
<x:table xmlns:x="http://schemas.openxmlformats.org/spreadsheetml/2006/main" id="2" name="CompetitionIndex" displayName="CompetitionIndex" ref="A1:F4" headerRowCount="1">
  <x:autoFilter ref="A1:F4"/>
  <x:tableColumns count="6">
    <x:tableColumn id="1" name="赛事 ID"/>
    <x:tableColumn id="2" name="年份"/>
    <x:tableColumn id="3" name="赛事名称"/>
    <x:tableColumn id="4" name="显示名称"/>
    <x:tableColumn id="5" name="状态"/>
    <x:tableColumn id="6" name="赛事说明"/>
  </x:tableColumns>
  <x:tableStyleInfo name="TableStyleMedium4" showFirstColumn="0" showLastColumn="0" showRowStripes="0" showColumnStripes="0"/>
</x:table>
</file>

<file path=xl/tables/table3.xml><?xml version="1.0" encoding="utf-8"?>
<x:table xmlns:x="http://schemas.openxmlformats.org/spreadsheetml/2006/main" id="3" name="MatchSchedule" displayName="MatchSchedule" ref="A1:I13" headerRowCount="1" totalsRowCount="0">
  <x:autoFilter ref="A1:I13"/>
  <x:tableColumns count="9">
    <x:tableColumn id="1" name="赛季"/>
    <x:tableColumn id="2" name="赛事名称"/>
    <x:tableColumn id="3" name="日期"/>
    <x:tableColumn id="4" name="对手"/>
    <x:tableColumn id="5" name="比分"/>
    <x:tableColumn id="6" name="赛果"/>
    <x:tableColumn id="7" name="场地"/>
    <x:tableColumn id="8" name="进球者"/>
    <x:tableColumn id="9" name="赛事备注"/>
  </x:tableColumns>
  <x:tableStyleInfo name="TableStyleMedium4" showFirstColumn="0" showLastColumn="0" showRowStripes="0" showColumnStripes="0"/>
</x:table>
</file>

<file path=xl/tables/table4.xml><?xml version="1.0" encoding="utf-8"?>
<x:table xmlns:x="http://schemas.openxmlformats.org/spreadsheetml/2006/main" id="4" name="NewcomerShowcase" displayName="NewcomerShowcase" ref="A1:L13" headerRowCount="1">
  <x:autoFilter ref="A1:L13"/>
  <x:tableColumns count="12">
    <x:tableColumn id="1" name="排序"/>
    <x:tableColumn id="2" name="姓名"/>
    <x:tableColumn id="3" name="年级"/>
    <x:tableColumn id="4" name="号码"/>
    <x:tableColumn id="5" name="主位置"/>
    <x:tableColumn id="6" name="可胜任位置"/>
    <x:tableColumn id="7" name="惯用脚"/>
    <x:tableColumn id="8" name="踢球风格"/>
    <x:tableColumn id="9" name="自我介绍"/>
    <x:tableColumn id="10" name="照片文件名"/>
    <x:tableColumn id="11" name="照片焦点"/>
    <x:tableColumn id="12" name="展示状态"/>
  </x:tableColumns>
  <x:tableStyleInfo name="TableStyleMedium4" showFirstColumn="0" showLastColumn="0" showRowStripes="0" showColumnStripes="0"/>
</x:table>
</file>

<file path=xl/tables/table5.xml><?xml version="1.0" encoding="utf-8"?>
<x:table xmlns:x="http://schemas.openxmlformats.org/spreadsheetml/2006/main" id="5" name="TeamManagers" displayName="TeamManagers" ref="A1:J4" headerRowCount="1" totalsRowCount="0" totalsRowShown="0">
  <x:autoFilter ref="A1:J4"/>
  <x:tableColumns count="10">
    <x:tableColumn id="1" name="排序"/>
    <x:tableColumn id="2" name="姓名"/>
    <x:tableColumn id="3" name="年级"/>
    <x:tableColumn id="4" name="加入赛季"/>
    <x:tableColumn id="5" name="身份"/>
    <x:tableColumn id="6" name="职责"/>
    <x:tableColumn id="7" name="个人介绍"/>
    <x:tableColumn id="8" name="照片文件名"/>
    <x:tableColumn id="9" name="照片焦点"/>
    <x:tableColumn id="10" name="展示状态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eamNotices" displayName="TeamNotices" ref="A1:M9" headerRowCount="1" totalsRowCount="0" totalsRowShown="0">
  <x:tableColumns count="13">
    <x:tableColumn id="1" name="公告ID"/>
    <x:tableColumn id="2" name="分类"/>
    <x:tableColumn id="3" name="发布日期"/>
    <x:tableColumn id="4" name="标题"/>
    <x:tableColumn id="5" name="摘要"/>
    <x:tableColumn id="6" name="正文"/>
    <x:tableColumn id="7" name="名单"/>
    <x:tableColumn id="8" name="配图"/>
    <x:tableColumn id="9" name="图片说明"/>
    <x:tableColumn id="10" name="关联链接"/>
    <x:tableColumn id="11" name="链接文字"/>
    <x:tableColumn id="12" name="发布状态"/>
    <x:tableColumn id="13" name="置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a76e6baccc4e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7cef0b97b14a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4a14c972e7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258e5c100044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f41b809eb4f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30638b050f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5"/>
  <x:cols>
    <x:col min="1" max="1" width="16" customWidth="1"/>
    <x:col min="2" max="2" width="22" customWidth="1"/>
    <x:col min="3" max="3" width="4" customWidth="1"/>
    <x:col min="4" max="4" width="46" customWidth="1"/>
  </x:cols>
  <x:sheetData>
    <x:row r="1" ht="32" customHeight="1">
      <x:c r="A1" s="7" t="inlineStr">
        <x:is>
          <x:t xml:space="preserve">生康足球队 · 球员数据汇总</x:t>
        </x:is>
      </x:c>
    </x:row>
    <x:row r="3">
      <x:c r="A3" s="8" t="inlineStr">
        <x:is>
          <x:t xml:space="preserve">数据范围</x:t>
        </x:is>
      </x:c>
      <x:c r="B3" s="2" t="inlineStr">
        <x:is>
          <x:t xml:space="preserve">网站当前球员档案</x:t>
        </x:is>
      </x:c>
      <x:c r="C3" s="2" t="n"/>
      <x:c r="D3" s="8" t="inlineStr">
        <x:is>
          <x:t xml:space="preserve">说明</x:t>
        </x:is>
      </x:c>
    </x:row>
    <x:row r="4" ht="15" customHeight="1">
      <x:c r="A4" s="9" t="inlineStr">
        <x:is>
          <x:t xml:space="preserve">球员人数</x:t>
        </x:is>
      </x:c>
      <x:c r="B4" s="10" t="n">
        <x:f>COUNTA(球员数据!B2:B18)</x:f>
        <x:v>17</x:v>
      </x:c>
      <x:c r="C4" s="3" t="n"/>
      <x:c r="D4" s="3" t="inlineStr">
        <x:is>
          <x:t xml:space="preserve">数据来源：网站 js/team-data.js</x:t>
        </x:is>
      </x:c>
    </x:row>
    <x:row r="5" ht="15" customHeight="1">
      <x:c r="A5" s="8" t="inlineStr">
        <x:is>
          <x:t xml:space="preserve">总出场</x:t>
        </x:is>
      </x:c>
      <x:c r="B5" s="11" t="n">
        <x:f>SUM(球员数据!G2:G18)</x:f>
        <x:v>110</x:v>
      </x:c>
      <x:c r="C5" s="2" t="n"/>
      <x:c r="D5" s="2" t="inlineStr">
        <x:is>
          <x:t xml:space="preserve">评分为网站现有记录，不做额外计算。</x:t>
        </x:is>
      </x:c>
    </x:row>
    <x:row r="6" ht="15" customHeight="1">
      <x:c r="A6" s="9" t="inlineStr">
        <x:is>
          <x:t xml:space="preserve">总进球</x:t>
        </x:is>
      </x:c>
      <x:c r="B6" s="10" t="n">
        <x:f>SUM(球员数据!H2:H18)</x:f>
        <x:v>13</x:v>
      </x:c>
      <x:c r="C6" s="3" t="n"/>
      <x:c r="D6" s="3" t="inlineStr">
        <x:is>
          <x:t xml:space="preserve">扑救与零封字段保留，当前未统计时为 0。</x:t>
        </x:is>
      </x:c>
    </x:row>
    <x:row r="7" ht="15" customHeight="1">
      <x:c r="A7" s="8" t="inlineStr">
        <x:is>
          <x:t xml:space="preserve">总助攻</x:t>
        </x:is>
      </x:c>
      <x:c r="B7" s="11" t="n">
        <x:f>SUM(球员数据!I2:I18)</x:f>
        <x:v>9</x:v>
      </x:c>
      <x:c r="C7" s="2" t="n"/>
      <x:c r="D7" s="2" t="inlineStr">
        <x:is>
          <x:t xml:space="preserve">后续只需更新“球员数据”工作表或网站源数据。</x:t>
        </x:is>
      </x:c>
    </x:row>
    <x:row r="8" ht="15" customHeight="1">
      <x:c r="A8" s="9" t="inlineStr">
        <x:is>
          <x:t xml:space="preserve">总 MVP</x:t>
        </x:is>
      </x:c>
      <x:c r="B8" s="10" t="n">
        <x:f>SUM(球员数据!J2:J18)</x:f>
        <x:v>0</x:v>
      </x:c>
      <x:c r="C8" s="3" t="n"/>
      <x:c r="D8" s="3" t="n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3.5"/>
  <x:cols>
    <x:col min="1" max="1" width="8" customWidth="1"/>
    <x:col min="2" max="2" width="12" customWidth="1"/>
    <x:col min="3" max="3" width="16" customWidth="1"/>
    <x:col min="4" max="4" width="8" customWidth="1"/>
    <x:col min="5" max="5" width="10" customWidth="1"/>
    <x:col min="6" max="6" width="17" customWidth="1"/>
    <x:col min="7" max="11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11" customWidth="1"/>
    <x:col min="13" max="13" width="12" customWidth="1"/>
    <x:col min="14" max="14" width="20" customWidth="1"/>
    <x:col min="15" max="15" width="28" customWidth="1"/>
  </x:cols>
  <x:sheetData>
    <x:row r="1" ht="26" customHeight="1">
      <x:c r="A1" s="12" t="inlineStr">
        <x:is>
          <x:t xml:space="preserve">序号</x:t>
        </x:is>
      </x:c>
      <x:c r="B1" s="12" t="inlineStr">
        <x:is>
          <x:t xml:space="preserve">姓名</x:t>
        </x:is>
      </x:c>
      <x:c r="C1" s="12" t="inlineStr">
        <x:is>
          <x:t xml:space="preserve">绰号</x:t>
        </x:is>
      </x:c>
      <x:c r="D1" s="12" t="inlineStr">
        <x:is>
          <x:t xml:space="preserve">号码</x:t>
        </x:is>
      </x:c>
      <x:c r="E1" s="12" t="inlineStr">
        <x:is>
          <x:t xml:space="preserve">主位置</x:t>
        </x:is>
      </x:c>
      <x:c r="F1" s="12" t="inlineStr">
        <x:is>
          <x:t xml:space="preserve">可胜任位置</x:t>
        </x:is>
      </x:c>
      <x:c r="G1" s="12" t="inlineStr">
        <x:is>
          <x:t xml:space="preserve">出场</x:t>
        </x:is>
      </x:c>
      <x:c r="H1" s="12" t="inlineStr">
        <x:is>
          <x:t xml:space="preserve">进球</x:t>
        </x:is>
      </x:c>
      <x:c r="I1" s="12" t="inlineStr">
        <x:is>
          <x:t xml:space="preserve">助攻</x:t>
        </x:is>
      </x:c>
      <x:c r="J1" s="12" t="inlineStr">
        <x:is>
          <x:t xml:space="preserve">MVP</x:t>
        </x:is>
      </x:c>
      <x:c r="K1" s="12" t="inlineStr">
        <x:is>
          <x:t xml:space="preserve">零封</x:t>
        </x:is>
      </x:c>
      <x:c r="L1" s="13" t="inlineStr">
        <x:is>
          <x:t xml:space="preserve">低失球场</x:t>
        </x:is>
      </x:c>
      <x:c r="M1" s="12" t="inlineStr">
        <x:is>
          <x:t xml:space="preserve">评分</x:t>
        </x:is>
      </x:c>
      <x:c r="N1" s="12" t="inlineStr">
        <x:is>
          <x:t xml:space="preserve">踢球风格</x:t>
        </x:is>
      </x:c>
      <x:c r="O1" s="12" t="inlineStr">
        <x:is>
          <x:t xml:space="preserve">代表数据</x:t>
        </x:is>
      </x:c>
    </x:row>
    <x:row r="2" ht="23" customHeight="1">
      <x:c r="A2" s="14" t="n">
        <x:v>1</x:v>
      </x:c>
      <x:c r="B2" s="14" t="inlineStr">
        <x:is>
          <x:t xml:space="preserve">吴宇成</x:t>
        </x:is>
      </x:c>
      <x:c r="C2" s="14" t="inlineStr">
        <x:is>
          <x:t xml:space="preserve">铁血后卫</x:t>
        </x:is>
      </x:c>
      <x:c r="D2" s="14" t="n">
        <x:v>6</x:v>
      </x:c>
      <x:c r="E2" s="14" t="inlineStr">
        <x:is>
          <x:t xml:space="preserve">DF</x:t>
        </x:is>
      </x:c>
      <x:c r="F2" s="14" t="inlineStr">
        <x:is>
          <x:t xml:space="preserve">CB/CM/GK</x:t>
        </x:is>
      </x:c>
      <x:c r="G2" s="14" t="n">
        <x:v>11</x:v>
      </x:c>
      <x:c r="H2" s="14" t="n">
        <x:v>0</x:v>
      </x:c>
      <x:c r="I2" s="14" t="n">
        <x:v>1</x:v>
      </x:c>
      <x:c r="J2" s="14" t="n">
        <x:v>0</x:v>
      </x:c>
      <x:c r="K2" s="14" t="n">
        <x:v>0</x:v>
      </x:c>
      <x:c r="L2" s="14" t="n">
        <x:v>0</x:v>
      </x:c>
      <x:c r="M2" s="15" t="n">
        <x:f>ROUND(MIN(9.5,MAX(6,6+G2*0.08+H2*0.35+I2*0.25+J2*0.25+K2*0.15+IF(E2="DF",G2*0.06+K2*0.35+L2*0.15,0))),1)</x:f>
        <x:v>7.8</x:v>
      </x:c>
      <x:c r="N2" s="14" t="inlineStr">
        <x:is>
          <x:t xml:space="preserve">后场组织者/进攻型门将</x:t>
        </x:is>
      </x:c>
      <x:c r="O2" s="14" t="str">
        <x:f>IF(H2&gt;0,IF(I2&gt;0,"贡献 "&amp;H2&amp;" 粒进球 / 送出 "&amp;I2&amp;" 次助攻","贡献 "&amp;H2&amp;" 粒进球"),IF(I2&gt;0,"送出 "&amp;I2&amp;" 次助攻","累计出场 "&amp;G2&amp;" 场"))</x:f>
        <x:v>送出 1 次助攻</x:v>
      </x:c>
    </x:row>
    <x:row r="3" ht="23" customHeight="1">
      <x:c r="A3" s="16" t="n">
        <x:v>2</x:v>
      </x:c>
      <x:c r="B3" s="16" t="inlineStr">
        <x:is>
          <x:t xml:space="preserve">代育锐</x:t>
        </x:is>
      </x:c>
      <x:c r="C3" s="16" t="inlineStr">
        <x:is>
          <x:t xml:space="preserve">球王</x:t>
        </x:is>
      </x:c>
      <x:c r="D3" s="16" t="n">
        <x:v>10</x:v>
      </x:c>
      <x:c r="E3" s="16" t="inlineStr">
        <x:is>
          <x:t xml:space="preserve">DF</x:t>
        </x:is>
      </x:c>
      <x:c r="F3" s="16" t="inlineStr">
        <x:is>
          <x:t xml:space="preserve">CB/LB</x:t>
        </x:is>
      </x:c>
      <x:c r="G3" s="16" t="n">
        <x:v>4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  <x:c r="M3" s="17" t="n">
        <x:f>ROUND(MIN(9.5,MAX(6,6+G3*0.08+H3*0.35+I3*0.25+J3*0.25+K3*0.15+IF(E3="DF",G3*0.06+K3*0.35+L3*0.15,0))),1)</x:f>
        <x:v>6.6</x:v>
      </x:c>
      <x:c r="N3" s="16" t="inlineStr">
        <x:is>
          <x:t xml:space="preserve">组织型中后卫</x:t>
        </x:is>
      </x:c>
      <x:c r="O3" s="16" t="str">
        <x:f>IF(H3&gt;0,IF(I3&gt;0,"贡献 "&amp;H3&amp;" 粒进球 / 送出 "&amp;I3&amp;" 次助攻","贡献 "&amp;H3&amp;" 粒进球"),IF(I3&gt;0,"送出 "&amp;I3&amp;" 次助攻","累计出场 "&amp;G3&amp;" 场"))</x:f>
        <x:v>累计出场 4 场</x:v>
      </x:c>
    </x:row>
    <x:row r="4" ht="23" customHeight="1">
      <x:c r="A4" s="14" t="n">
        <x:v>3</x:v>
      </x:c>
      <x:c r="B4" s="14" t="str">
        <x:v>王伯涵</x:v>
      </x:c>
      <x:c r="C4" s="14" t="inlineStr">
        <x:is>
          <x:t xml:space="preserve">防守大闸</x:t>
        </x:is>
      </x:c>
      <x:c r="D4" s="14" t="n">
        <x:v>29</x:v>
      </x:c>
      <x:c r="E4" s="14" t="inlineStr">
        <x:is>
          <x:t xml:space="preserve">DF</x:t>
        </x:is>
      </x:c>
      <x:c r="F4" s="14" t="inlineStr">
        <x:is>
          <x:t xml:space="preserve">LB/CB</x:t>
        </x:is>
      </x:c>
      <x:c r="G4" s="14" t="n">
        <x:v>9</x:v>
      </x:c>
      <x:c r="H4" s="14" t="n">
        <x:v>0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5" t="n">
        <x:f>ROUND(MIN(9.5,MAX(6,6+G4*0.08+H4*0.35+I4*0.25+J4*0.25+K4*0.15+IF(E4="DF",G4*0.06+K4*0.35+L4*0.15,0))),1)</x:f>
        <x:v>7.3</x:v>
      </x:c>
      <x:c r="N4" s="14" t="inlineStr">
        <x:is>
          <x:t xml:space="preserve">防守型边后卫</x:t>
        </x:is>
      </x:c>
      <x:c r="O4" s="14" t="str">
        <x:f>IF(H4&gt;0,IF(I4&gt;0,"贡献 "&amp;H4&amp;" 粒进球 / 送出 "&amp;I4&amp;" 次助攻","贡献 "&amp;H4&amp;" 粒进球"),IF(I4&gt;0,"送出 "&amp;I4&amp;" 次助攻","累计出场 "&amp;G4&amp;" 场"))</x:f>
        <x:v>累计出场 9 场</x:v>
      </x:c>
    </x:row>
    <x:row r="5" ht="23" customHeight="1">
      <x:c r="A5" s="16" t="n">
        <x:v>4</x:v>
      </x:c>
      <x:c r="B5" s="16" t="inlineStr">
        <x:is>
          <x:t xml:space="preserve">刘航宇</x:t>
        </x:is>
      </x:c>
      <x:c r="C5" s="16" t="inlineStr">
        <x:is>
          <x:t xml:space="preserve">门神</x:t>
        </x:is>
      </x:c>
      <x:c r="D5" s="16" t="n">
        <x:v>0</x:v>
      </x:c>
      <x:c r="E5" s="16" t="inlineStr">
        <x:is>
          <x:t xml:space="preserve">GK</x:t>
        </x:is>
      </x:c>
      <x:c r="F5" s="16" t="inlineStr">
        <x:is>
          <x:t xml:space="preserve">GK</x:t>
        </x:is>
      </x:c>
      <x:c r="G5" s="16" t="n">
        <x:v>8</x:v>
      </x:c>
      <x:c r="H5" s="16" t="n">
        <x:v>0</x:v>
      </x:c>
      <x:c r="I5" s="16" t="n">
        <x:v>0</x:v>
      </x:c>
      <x:c r="J5" s="16" t="n">
        <x:v>0</x:v>
      </x:c>
      <x:c r="K5" s="16" t="n">
        <x:v>1</x:v>
      </x:c>
      <x:c r="L5" s="16" t="n">
        <x:v>0</x:v>
      </x:c>
      <x:c r="M5" s="17" t="n">
        <x:f>ROUND(MIN(9.5,MAX(6,6+G5*0.08+H5*0.35+I5*0.25+J5*0.25+K5*0.15+IF(E5="DF",G5*0.06+K5*0.35+L5*0.15,0))),1)</x:f>
        <x:v>6.8</x:v>
      </x:c>
      <x:c r="N5" s="16" t="inlineStr">
        <x:is>
          <x:t xml:space="preserve">防守型门将</x:t>
        </x:is>
      </x:c>
      <x:c r="O5" s="16" t="str">
        <x:f>IF(H5&gt;0,IF(I5&gt;0,"贡献 "&amp;H5&amp;" 粒进球 / 送出 "&amp;I5&amp;" 次助攻","贡献 "&amp;H5&amp;" 粒进球"),IF(I5&gt;0,"送出 "&amp;I5&amp;" 次助攻","累计出场 "&amp;G5&amp;" 场"))</x:f>
        <x:v>累计出场 8 场</x:v>
      </x:c>
    </x:row>
    <x:row r="6" ht="23" customHeight="1">
      <x:c r="A6" s="14" t="n">
        <x:v>5</x:v>
      </x:c>
      <x:c r="B6" s="14" t="inlineStr">
        <x:is>
          <x:t xml:space="preserve">曹维嘉</x:t>
        </x:is>
      </x:c>
      <x:c r="C6" s="14" t="inlineStr">
        <x:is>
          <x:t xml:space="preserve">能跑</x:t>
        </x:is>
      </x:c>
      <x:c r="D6" s="14" t="n">
        <x:v>23</x:v>
      </x:c>
      <x:c r="E6" s="14" t="inlineStr">
        <x:is>
          <x:t xml:space="preserve">FW</x:t>
        </x:is>
      </x:c>
      <x:c r="F6" s="14" t="inlineStr">
        <x:is>
          <x:t xml:space="preserve">RB/RWF</x:t>
        </x:is>
      </x:c>
      <x:c r="G6" s="14" t="n">
        <x:v>8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5" t="n">
        <x:f>ROUND(MIN(9.5,MAX(6,6+G6*0.08+H6*0.35+I6*0.25+J6*0.25+K6*0.15+IF(E6="DF",G6*0.06+K6*0.35+L6*0.15,0))),1)</x:f>
        <x:v>6.6</x:v>
      </x:c>
      <x:c r="N6" s="14" t="inlineStr">
        <x:is>
          <x:t xml:space="preserve">防守型边锋</x:t>
        </x:is>
      </x:c>
      <x:c r="O6" s="14" t="str">
        <x:f>IF(H6&gt;0,IF(I6&gt;0,"贡献 "&amp;H6&amp;" 粒进球 / 送出 "&amp;I6&amp;" 次助攻","贡献 "&amp;H6&amp;" 粒进球"),IF(I6&gt;0,"送出 "&amp;I6&amp;" 次助攻","累计出场 "&amp;G6&amp;" 场"))</x:f>
        <x:v>累计出场 8 场</x:v>
      </x:c>
    </x:row>
    <x:row r="7" ht="23" customHeight="1">
      <x:c r="A7" s="16" t="n">
        <x:v>6</x:v>
      </x:c>
      <x:c r="B7" s="16" t="inlineStr">
        <x:is>
          <x:t xml:space="preserve">尚锐杰</x:t>
        </x:is>
      </x:c>
      <x:c r="C7" s="16" t="inlineStr">
        <x:is>
          <x:t xml:space="preserve">曾效力队员</x:t>
        </x:is>
      </x:c>
      <x:c r="D7" s="16" t="n">
        <x:v>9</x:v>
      </x:c>
      <x:c r="E7" s="16" t="inlineStr">
        <x:is>
          <x:t xml:space="preserve">DF</x:t>
        </x:is>
      </x:c>
      <x:c r="F7" s="16" t="inlineStr">
        <x:is>
          <x:t xml:space="preserve">RB</x:t>
        </x:is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7" t="n">
        <x:f>ROUND(MIN(9.5,MAX(6,6+G7*0.08+H7*0.35+I7*0.25+J7*0.25+K7*0.15+IF(E7="DF",G7*0.06+K7*0.35+L7*0.15,0))),1)</x:f>
        <x:v>6</x:v>
      </x:c>
      <x:c r="N7" s="16" t="inlineStr">
        <x:is>
          <x:t xml:space="preserve">边后卫</x:t>
        </x:is>
      </x:c>
      <x:c r="O7" s="16" t="str">
        <x:f>IF(H7&gt;0,IF(I7&gt;0,"贡献 "&amp;H7&amp;" 粒进球 / 送出 "&amp;I7&amp;" 次助攻","贡献 "&amp;H7&amp;" 粒进球"),IF(I7&gt;0,"送出 "&amp;I7&amp;" 次助攻","累计出场 "&amp;G7&amp;" 场"))</x:f>
        <x:v>累计出场 0 场</x:v>
      </x:c>
    </x:row>
    <x:row r="8" ht="23" customHeight="1">
      <x:c r="A8" s="14" t="n">
        <x:v>7</x:v>
      </x:c>
      <x:c r="B8" s="14" t="inlineStr">
        <x:is>
          <x:t xml:space="preserve">吴宇泽</x:t>
        </x:is>
      </x:c>
      <x:c r="C8" s="14" t="inlineStr">
        <x:is>
          <x:t xml:space="preserve">53</x:t>
        </x:is>
      </x:c>
      <x:c r="D8" s="14" t="n">
        <x:v>15</x:v>
      </x:c>
      <x:c r="E8" s="14" t="inlineStr">
        <x:is>
          <x:t xml:space="preserve">FW</x:t>
        </x:is>
      </x:c>
      <x:c r="F8" s="14" t="inlineStr">
        <x:is>
          <x:t xml:space="preserve">LWF/CF</x:t>
        </x:is>
      </x:c>
      <x:c r="G8" s="14" t="n">
        <x:v>11</x:v>
      </x:c>
      <x:c r="H8" s="14" t="n">
        <x:v>6</x:v>
      </x:c>
      <x:c r="I8" s="14" t="n">
        <x:v>1</x:v>
      </x:c>
      <x:c r="J8" s="14" t="n">
        <x:v>0</x:v>
      </x:c>
      <x:c r="K8" s="14" t="n">
        <x:v>0</x:v>
      </x:c>
      <x:c r="L8" s="14" t="n">
        <x:v>0</x:v>
      </x:c>
      <x:c r="M8" s="15" t="n">
        <x:f>ROUND(MIN(9.5,MAX(6,6+G8*0.08+H8*0.35+I8*0.25+J8*0.25+K8*0.15+IF(E8="DF",G8*0.06+K8*0.35+L8*0.15,0))),1)</x:f>
        <x:v>9.2</x:v>
      </x:c>
      <x:c r="N8" s="14" t="inlineStr">
        <x:is>
          <x:t xml:space="preserve">抢点型前锋</x:t>
        </x:is>
      </x:c>
      <x:c r="O8" s="14" t="str">
        <x:f>IF(H8&gt;0,IF(I8&gt;0,"贡献 "&amp;H8&amp;" 粒进球 / 送出 "&amp;I8&amp;" 次助攻","贡献 "&amp;H8&amp;" 粒进球"),IF(I8&gt;0,"送出 "&amp;I8&amp;" 次助攻","累计出场 "&amp;G8&amp;" 场"))</x:f>
        <x:v>贡献 6 粒进球 / 送出 1 次助攻</x:v>
      </x:c>
    </x:row>
    <x:row r="9" ht="23" customHeight="1">
      <x:c r="A9" s="16" t="n">
        <x:v>8</x:v>
      </x:c>
      <x:c r="B9" s="16" t="inlineStr">
        <x:is>
          <x:t xml:space="preserve">彭卓伦</x:t>
        </x:is>
      </x:c>
      <x:c r="C9" s="16" t="inlineStr">
        <x:is>
          <x:t xml:space="preserve">发牌</x:t>
        </x:is>
      </x:c>
      <x:c r="D9" s="16" t="n">
        <x:v>8</x:v>
      </x:c>
      <x:c r="E9" s="16" t="inlineStr">
        <x:is>
          <x:t xml:space="preserve">MF</x:t>
        </x:is>
      </x:c>
      <x:c r="F9" s="16" t="inlineStr">
        <x:is>
          <x:t xml:space="preserve">AM/LWF</x:t>
        </x:is>
      </x:c>
      <x:c r="G9" s="16" t="n">
        <x:v>8</x:v>
      </x:c>
      <x:c r="H9" s="16" t="n">
        <x:v>2</x:v>
      </x:c>
      <x:c r="I9" s="16" t="n">
        <x:v>3</x:v>
      </x:c>
      <x:c r="J9" s="16" t="n">
        <x:v>0</x:v>
      </x:c>
      <x:c r="K9" s="16" t="n">
        <x:v>0</x:v>
      </x:c>
      <x:c r="L9" s="16" t="n">
        <x:v>0</x:v>
      </x:c>
      <x:c r="M9" s="17" t="n">
        <x:f>ROUND(MIN(9.5,MAX(6,6+G9*0.08+H9*0.35+I9*0.25+J9*0.25+K9*0.15+IF(E9="DF",G9*0.06+K9*0.35+L9*0.15,0))),1)</x:f>
        <x:v>8.1</x:v>
      </x:c>
      <x:c r="N9" s="16" t="inlineStr">
        <x:is>
          <x:t xml:space="preserve">组织型前锋</x:t>
        </x:is>
      </x:c>
      <x:c r="O9" s="16" t="str">
        <x:f>IF(H9&gt;0,IF(I9&gt;0,"贡献 "&amp;H9&amp;" 粒进球 / 送出 "&amp;I9&amp;" 次助攻","贡献 "&amp;H9&amp;" 粒进球"),IF(I9&gt;0,"送出 "&amp;I9&amp;" 次助攻","累计出场 "&amp;G9&amp;" 场"))</x:f>
        <x:v>贡献 2 粒进球 / 送出 3 次助攻</x:v>
      </x:c>
    </x:row>
    <x:row r="10" ht="23" customHeight="1">
      <x:c r="A10" s="14" t="n">
        <x:v>9</x:v>
      </x:c>
      <x:c r="B10" s="14" t="inlineStr">
        <x:is>
          <x:t xml:space="preserve">周霄旭</x:t>
        </x:is>
      </x:c>
      <x:c r="C10" s="14" t="inlineStr">
        <x:is>
          <x:t xml:space="preserve">生康未来</x:t>
        </x:is>
      </x:c>
      <x:c r="D10" s="14" t="n">
        <x:v>5</x:v>
      </x:c>
      <x:c r="E10" s="14" t="inlineStr">
        <x:is>
          <x:t xml:space="preserve">FW</x:t>
        </x:is>
      </x:c>
      <x:c r="F10" s="14" t="inlineStr">
        <x:is>
          <x:t xml:space="preserve">CF/RWF/AM</x:t>
        </x:is>
      </x:c>
      <x:c r="G10" s="14" t="n">
        <x:v>10</x:v>
      </x:c>
      <x:c r="H10" s="14" t="n">
        <x:v>4</x:v>
      </x:c>
      <x:c r="I10" s="14" t="n">
        <x:v>3</x:v>
      </x:c>
      <x:c r="J10" s="14" t="n">
        <x:v>0</x:v>
      </x:c>
      <x:c r="K10" s="14" t="n">
        <x:v>0</x:v>
      </x:c>
      <x:c r="L10" s="14" t="n">
        <x:v>0</x:v>
      </x:c>
      <x:c r="M10" s="15" t="n">
        <x:f>ROUND(MIN(9.5,MAX(6,6+G10*0.08+H10*0.35+I10*0.25+J10*0.25+K10*0.15+IF(E10="DF",G10*0.06+K10*0.35+L10*0.15,0))),1)</x:f>
        <x:v>9</x:v>
      </x:c>
      <x:c r="N10" s="14" t="inlineStr">
        <x:is>
          <x:t xml:space="preserve">全能前锋</x:t>
        </x:is>
      </x:c>
      <x:c r="O10" s="14" t="str">
        <x:f>IF(H10&gt;0,IF(I10&gt;0,"贡献 "&amp;H10&amp;" 粒进球 / 送出 "&amp;I10&amp;" 次助攻","贡献 "&amp;H10&amp;" 粒进球"),IF(I10&gt;0,"送出 "&amp;I10&amp;" 次助攻","累计出场 "&amp;G10&amp;" 场"))</x:f>
        <x:v>贡献 4 粒进球 / 送出 3 次助攻</x:v>
      </x:c>
    </x:row>
    <x:row r="11" ht="23" customHeight="1">
      <x:c r="A11" s="16" t="n">
        <x:v>10</x:v>
      </x:c>
      <x:c r="B11" s="16" t="inlineStr">
        <x:is>
          <x:t xml:space="preserve">张俊</x:t>
        </x:is>
      </x:c>
      <x:c r="C11" s="16" t="inlineStr">
        <x:is>
          <x:t xml:space="preserve">全能王</x:t>
        </x:is>
      </x:c>
      <x:c r="D11" s="16" t="n">
        <x:v>17</x:v>
      </x:c>
      <x:c r="E11" s="16" t="inlineStr">
        <x:is>
          <x:t xml:space="preserve">DF</x:t>
        </x:is>
      </x:c>
      <x:c r="F11" s="16" t="inlineStr">
        <x:is>
          <x:t xml:space="preserve">CB/CM/GK</x:t>
        </x:is>
      </x:c>
      <x:c r="G11" s="16" t="n">
        <x:v>6</x:v>
      </x:c>
      <x:c r="H11" s="16" t="n">
        <x:v>0</x:v>
      </x:c>
      <x:c r="I11" s="16" t="n">
        <x:v>0</x:v>
      </x:c>
      <x:c r="J11" s="16" t="n">
        <x:v>0</x:v>
      </x:c>
      <x:c r="K11" s="16" t="n">
        <x:v>0</x:v>
      </x:c>
      <x:c r="L11" s="16" t="n">
        <x:v>0</x:v>
      </x:c>
      <x:c r="M11" s="17" t="n">
        <x:f>ROUND(MIN(9.5,MAX(6,6+G11*0.08+H11*0.35+I11*0.25+J11*0.25+K11*0.15+IF(E11="DF",G11*0.06+K11*0.35+L11*0.15,0))),1)</x:f>
        <x:v>6.8</x:v>
      </x:c>
      <x:c r="N11" s="16" t="inlineStr">
        <x:is>
          <x:t xml:space="preserve">全能中场</x:t>
        </x:is>
      </x:c>
      <x:c r="O11" s="16" t="str">
        <x:f>IF(H11&gt;0,IF(I11&gt;0,"贡献 "&amp;H11&amp;" 粒进球 / 送出 "&amp;I11&amp;" 次助攻","贡献 "&amp;H11&amp;" 粒进球"),IF(I11&gt;0,"送出 "&amp;I11&amp;" 次助攻","累计出场 "&amp;G11&amp;" 场"))</x:f>
        <x:v>累计出场 6 场</x:v>
      </x:c>
    </x:row>
    <x:row r="12" ht="23" customHeight="1">
      <x:c r="A12" s="14" t="n">
        <x:v>11</x:v>
      </x:c>
      <x:c r="B12" s="14" t="inlineStr">
        <x:is>
          <x:t xml:space="preserve">岑烨</x:t>
        </x:is>
      </x:c>
      <x:c r="C12" s="14" t="inlineStr">
        <x:is>
          <x:t xml:space="preserve">门神</x:t>
        </x:is>
      </x:c>
      <x:c r="D12" s="14" t="n">
        <x:v>18</x:v>
      </x:c>
      <x:c r="E12" s="14" t="inlineStr">
        <x:is>
          <x:t xml:space="preserve">GK</x:t>
        </x:is>
      </x:c>
      <x:c r="F12" s="14" t="inlineStr">
        <x:is>
          <x:t xml:space="preserve">GK/CB</x:t>
        </x:is>
      </x:c>
      <x:c r="G12" s="14" t="n">
        <x:v>5</x:v>
      </x:c>
      <x:c r="H12" s="14" t="n">
        <x:v>0</x:v>
      </x:c>
      <x:c r="I12" s="14" t="n">
        <x:v>0</x:v>
      </x:c>
      <x:c r="J12" s="14" t="n">
        <x:v>0</x:v>
      </x:c>
      <x:c r="K12" s="14" t="n">
        <x:v>1</x:v>
      </x:c>
      <x:c r="L12" s="14" t="n">
        <x:v>0</x:v>
      </x:c>
      <x:c r="M12" s="15" t="n">
        <x:f>ROUND(MIN(9.5,MAX(6,6+G12*0.08+H12*0.35+I12*0.25+J12*0.25+K12*0.15+IF(E12="DF",G12*0.06+K12*0.35+L12*0.15,0))),1)</x:f>
        <x:v>6.6</x:v>
      </x:c>
      <x:c r="N12" s="14" t="inlineStr">
        <x:is>
          <x:t xml:space="preserve">防守型门将</x:t>
        </x:is>
      </x:c>
      <x:c r="O12" s="14" t="str">
        <x:f>IF(H12&gt;0,IF(I12&gt;0,"贡献 "&amp;H12&amp;" 粒进球 / 送出 "&amp;I12&amp;" 次助攻","贡献 "&amp;H12&amp;" 粒进球"),IF(I12&gt;0,"送出 "&amp;I12&amp;" 次助攻","累计出场 "&amp;G12&amp;" 场"))</x:f>
        <x:v>累计出场 5 场</x:v>
      </x:c>
    </x:row>
    <x:row r="13" ht="23" customHeight="1">
      <x:c r="A13" s="16" t="n">
        <x:v>12</x:v>
      </x:c>
      <x:c r="B13" s="16" t="inlineStr">
        <x:is>
          <x:t xml:space="preserve">李傲</x:t>
        </x:is>
      </x:c>
      <x:c r="C13" s="16" t="inlineStr">
        <x:is>
          <x:t xml:space="preserve">铁血</x:t>
        </x:is>
      </x:c>
      <x:c r="D13" s="16" t="n">
        <x:v>19</x:v>
      </x:c>
      <x:c r="E13" s="16" t="inlineStr">
        <x:is>
          <x:t xml:space="preserve">DF</x:t>
        </x:is>
      </x:c>
      <x:c r="F13" s="16" t="inlineStr">
        <x:is>
          <x:t xml:space="preserve">RB</x:t>
        </x:is>
      </x:c>
      <x:c r="G13" s="16" t="n">
        <x:v>8</x:v>
      </x:c>
      <x:c r="H13" s="16" t="n">
        <x:v>0</x:v>
      </x:c>
      <x:c r="I13" s="16" t="n">
        <x:v>0</x:v>
      </x:c>
      <x:c r="J13" s="16" t="n">
        <x:v>0</x:v>
      </x:c>
      <x:c r="K13" s="16" t="n">
        <x:v>0</x:v>
      </x:c>
      <x:c r="L13" s="16" t="n">
        <x:v>0</x:v>
      </x:c>
      <x:c r="M13" s="17" t="n">
        <x:f>ROUND(MIN(9.5,MAX(6,6+G13*0.08+H13*0.35+I13*0.25+J13*0.25+K13*0.15+IF(E13="DF",G13*0.06+K13*0.35+L13*0.15,0))),1)</x:f>
        <x:v>7.1</x:v>
      </x:c>
      <x:c r="N13" s="16" t="inlineStr">
        <x:is>
          <x:t xml:space="preserve">边翼卫</x:t>
        </x:is>
      </x:c>
      <x:c r="O13" s="16" t="str">
        <x:f>IF(H13&gt;0,IF(I13&gt;0,"贡献 "&amp;H13&amp;" 粒进球 / 送出 "&amp;I13&amp;" 次助攻","贡献 "&amp;H13&amp;" 粒进球"),IF(I13&gt;0,"送出 "&amp;I13&amp;" 次助攻","累计出场 "&amp;G13&amp;" 场"))</x:f>
        <x:v>累计出场 8 场</x:v>
      </x:c>
    </x:row>
    <x:row r="14" ht="23" customHeight="1">
      <x:c r="A14" s="14" t="n">
        <x:v>13</x:v>
      </x:c>
      <x:c r="B14" s="14" t="inlineStr">
        <x:is>
          <x:t xml:space="preserve">吴全银</x:t>
        </x:is>
      </x:c>
      <x:c r="C14" s="14" t="inlineStr">
        <x:is>
          <x:t xml:space="preserve">控场</x:t>
        </x:is>
      </x:c>
      <x:c r="D14" s="14" t="n">
        <x:v>25</x:v>
      </x:c>
      <x:c r="E14" s="14" t="inlineStr">
        <x:is>
          <x:t xml:space="preserve">MF</x:t>
        </x:is>
      </x:c>
      <x:c r="F14" s="14" t="inlineStr">
        <x:is>
          <x:t xml:space="preserve">DM/RB</x:t>
        </x:is>
      </x:c>
      <x:c r="G14" s="14" t="n">
        <x:v>6</x:v>
      </x:c>
      <x:c r="H14" s="14" t="n">
        <x:v>0</x:v>
      </x:c>
      <x:c r="I14" s="14" t="n">
        <x:v>0</x:v>
      </x:c>
      <x:c r="J14" s="14" t="n">
        <x:v>0</x:v>
      </x:c>
      <x:c r="K14" s="14" t="n">
        <x:v>0</x:v>
      </x:c>
      <x:c r="L14" s="14" t="n">
        <x:v>0</x:v>
      </x:c>
      <x:c r="M14" s="15" t="n">
        <x:f>ROUND(MIN(9.5,MAX(6,6+G14*0.08+H14*0.35+I14*0.25+J14*0.25+K14*0.15+IF(E14="DF",G14*0.06+K14*0.35+L14*0.15,0))),1)</x:f>
        <x:v>6.5</x:v>
      </x:c>
      <x:c r="N14" s="14" t="inlineStr">
        <x:is>
          <x:t xml:space="preserve">全能中场</x:t>
        </x:is>
      </x:c>
      <x:c r="O14" s="14" t="str">
        <x:f>IF(H14&gt;0,IF(I14&gt;0,"贡献 "&amp;H14&amp;" 粒进球 / 送出 "&amp;I14&amp;" 次助攻","贡献 "&amp;H14&amp;" 粒进球"),IF(I14&gt;0,"送出 "&amp;I14&amp;" 次助攻","累计出场 "&amp;G14&amp;" 场"))</x:f>
        <x:v>累计出场 6 场</x:v>
      </x:c>
    </x:row>
    <x:row r="15" ht="23" customHeight="1">
      <x:c r="A15" s="16" t="n">
        <x:v>14</x:v>
      </x:c>
      <x:c r="B15" s="16" t="inlineStr">
        <x:is>
          <x:t xml:space="preserve">陈亿霏</x:t>
        </x:is>
      </x:c>
      <x:c r="C15" s="16" t="inlineStr">
        <x:is>
          <x:t xml:space="preserve">寝室长</x:t>
        </x:is>
      </x:c>
      <x:c r="D15" s="16" t="n">
        <x:v>66</x:v>
      </x:c>
      <x:c r="E15" s="16" t="inlineStr">
        <x:is>
          <x:t xml:space="preserve">DF</x:t>
        </x:is>
      </x:c>
      <x:c r="F15" s="16" t="inlineStr">
        <x:is>
          <x:t xml:space="preserve">LB</x:t>
        </x:is>
      </x:c>
      <x:c r="G15" s="16" t="n">
        <x:v>3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v>0</x:v>
      </x:c>
      <x:c r="M15" s="17" t="n">
        <x:f>ROUND(MIN(9.5,MAX(6,6+G15*0.08+H15*0.35+I15*0.25+J15*0.25+K15*0.15+IF(E15="DF",G15*0.06+K15*0.35+L15*0.15,0))),1)</x:f>
        <x:v>6.4</x:v>
      </x:c>
      <x:c r="N15" s="16" t="inlineStr">
        <x:is>
          <x:t xml:space="preserve">边后卫</x:t>
        </x:is>
      </x:c>
      <x:c r="O15" s="16" t="str">
        <x:f>IF(H15&gt;0,IF(I15&gt;0,"贡献 "&amp;H15&amp;" 粒进球 / 送出 "&amp;I15&amp;" 次助攻","贡献 "&amp;H15&amp;" 粒进球"),IF(I15&gt;0,"送出 "&amp;I15&amp;" 次助攻","累计出场 "&amp;G15&amp;" 场"))</x:f>
        <x:v>累计出场 3 场</x:v>
      </x:c>
    </x:row>
    <x:row r="16" ht="23" customHeight="1">
      <x:c r="A16" s="14" t="n">
        <x:v>15</x:v>
      </x:c>
      <x:c r="B16" s="14" t="inlineStr">
        <x:is>
          <x:t xml:space="preserve">何嗣承</x:t>
        </x:is>
      </x:c>
      <x:c r="C16" s="14" t="inlineStr">
        <x:is>
          <x:t xml:space="preserve">生康坎特</x:t>
        </x:is>
      </x:c>
      <x:c r="D16" s="14" t="n">
        <x:v>12</x:v>
      </x:c>
      <x:c r="E16" s="14" t="inlineStr">
        <x:is>
          <x:t xml:space="preserve">MF</x:t>
        </x:is>
      </x:c>
      <x:c r="F16" s="14" t="inlineStr">
        <x:is>
          <x:t xml:space="preserve">DM/LB</x:t>
        </x:is>
      </x:c>
      <x:c r="G16" s="14" t="n">
        <x:v>10</x:v>
      </x:c>
      <x:c r="H16" s="14" t="n">
        <x:v>1</x:v>
      </x:c>
      <x:c r="I16" s="14" t="n">
        <x:v>1</x:v>
      </x:c>
      <x:c r="J16" s="14" t="n">
        <x:v>0</x:v>
      </x:c>
      <x:c r="K16" s="14" t="n">
        <x:v>1</x:v>
      </x:c>
      <x:c r="L16" s="14" t="n">
        <x:v>0</x:v>
      </x:c>
      <x:c r="M16" s="15" t="n">
        <x:f>ROUND(MIN(9.5,MAX(6,6+G16*0.08+H16*0.35+I16*0.25+J16*0.25+K16*0.15+IF(E16="DF",G16*0.06+K16*0.35+L16*0.15,0))),1)</x:f>
        <x:v>7.6</x:v>
      </x:c>
      <x:c r="N16" s="14" t="inlineStr">
        <x:is>
          <x:t xml:space="preserve">扫荡型中场</x:t>
        </x:is>
      </x:c>
      <x:c r="O16" s="14" t="str">
        <x:f>IF(H16&gt;0,IF(I16&gt;0,"贡献 "&amp;H16&amp;" 粒进球 / 送出 "&amp;I16&amp;" 次助攻","贡献 "&amp;H16&amp;" 粒进球"),IF(I16&gt;0,"送出 "&amp;I16&amp;" 次助攻","累计出场 "&amp;G16&amp;" 场"))</x:f>
        <x:v>贡献 1 粒进球 / 送出 1 次助攻</x:v>
      </x:c>
    </x:row>
    <x:row r="17" ht="23" customHeight="1">
      <x:c r="A17" s="16" t="n">
        <x:v>16</x:v>
      </x:c>
      <x:c r="B17" s="16" t="inlineStr">
        <x:is>
          <x:t xml:space="preserve">曹志威</x:t>
        </x:is>
      </x:c>
      <x:c r="C17" s="16" t="inlineStr">
        <x:is>
          <x:t xml:space="preserve">活跃队员</x:t>
        </x:is>
      </x:c>
      <x:c r="D17" s="16" t="n">
        <x:v>66</x:v>
      </x:c>
      <x:c r="E17" s="16" t="inlineStr">
        <x:is>
          <x:t xml:space="preserve">GK</x:t>
        </x:is>
      </x:c>
      <x:c r="F17" s="16" t="inlineStr">
        <x:is>
          <x:t xml:space="preserve">GK</x:t>
        </x:is>
      </x:c>
      <x:c r="G17" s="16" t="n">
        <x:v>1</x:v>
      </x:c>
      <x:c r="H17" s="16" t="n">
        <x:v>0</x:v>
      </x:c>
      <x:c r="I17" s="16" t="n">
        <x:v>0</x:v>
      </x:c>
      <x:c r="J17" s="16" t="n">
        <x:v>0</x:v>
      </x:c>
      <x:c r="K17" s="16" t="n">
        <x:v>0</x:v>
      </x:c>
      <x:c r="L17" s="16" t="n">
        <x:v>0</x:v>
      </x:c>
      <x:c r="M17" s="17" t="n">
        <x:f>ROUND(MIN(9.5,MAX(6,6+G17*0.08+H17*0.35+I17*0.25+J17*0.25+K17*0.15+IF(E17="DF",G17*0.06+K17*0.35+L17*0.15,0))),1)</x:f>
        <x:v>6.1</x:v>
      </x:c>
      <x:c r="N17" s="16" t="inlineStr">
        <x:is>
          <x:t xml:space="preserve">门将</x:t>
        </x:is>
      </x:c>
      <x:c r="O17" s="16" t="str">
        <x:f>IF(H17&gt;0,IF(I17&gt;0,"贡献 "&amp;H17&amp;" 粒进球 / 送出 "&amp;I17&amp;" 次助攻","贡献 "&amp;H17&amp;" 粒进球"),IF(I17&gt;0,"送出 "&amp;I17&amp;" 次助攻","累计出场 "&amp;G17&amp;" 场"))</x:f>
        <x:v>累计出场 1 场</x:v>
      </x:c>
    </x:row>
    <x:row r="18" ht="23" customHeight="1">
      <x:c r="A18" s="14" t="n">
        <x:v>17</x:v>
      </x:c>
      <x:c r="B18" s="14" t="inlineStr">
        <x:is>
          <x:t xml:space="preserve">苗志梁</x:t>
        </x:is>
      </x:c>
      <x:c r="C18" s="14" t="inlineStr">
        <x:is>
          <x:t xml:space="preserve">足球文艺青年</x:t>
        </x:is>
      </x:c>
      <x:c r="D18" s="14" t="n">
        <x:v>15</x:v>
      </x:c>
      <x:c r="E18" s="14" t="inlineStr">
        <x:is>
          <x:t xml:space="preserve">DF</x:t>
        </x:is>
      </x:c>
      <x:c r="F18" s="14" t="inlineStr">
        <x:is>
          <x:t xml:space="preserve">LB/LWB</x:t>
        </x:is>
      </x:c>
      <x:c r="G18" s="14" t="n">
        <x:v>2</x:v>
      </x:c>
      <x:c r="H18" s="14" t="n">
        <x:v>0</x:v>
      </x:c>
      <x:c r="I18" s="14" t="n">
        <x:v>0</x:v>
      </x:c>
      <x:c r="J18" s="14" t="n">
        <x:v>0</x:v>
      </x:c>
      <x:c r="K18" s="14" t="n">
        <x:v>0</x:v>
      </x:c>
      <x:c r="L18" s="14" t="n">
        <x:v>0</x:v>
      </x:c>
      <x:c r="M18" s="15" t="n">
        <x:f>ROUND(MIN(9.5,MAX(6,6+G18*0.08+H18*0.35+I18*0.25+J18*0.25+K18*0.15+IF(E18="DF",G18*0.06+K18*0.35+L18*0.15,0))),1)</x:f>
        <x:v>6.3</x:v>
      </x:c>
      <x:c r="N18" s="14" t="inlineStr">
        <x:is>
          <x:t xml:space="preserve">边后卫</x:t>
        </x:is>
      </x:c>
      <x:c r="O18" s="14" t="str">
        <x:f>IF(H18&gt;0,IF(I18&gt;0,"贡献 "&amp;H18&amp;" 粒进球 / 送出 "&amp;I18&amp;" 次助攻","贡献 "&amp;H18&amp;" 粒进球"),IF(I18&gt;0,"送出 "&amp;I18&amp;" 次助攻","累计出场 "&amp;G18&amp;" 场"))</x:f>
        <x:v>累计出场 2 场</x:v>
      </x:c>
    </x:row>
  </x:sheetData>
  <x:conditionalFormatting sqref="M2:M18">
    <x:cfRule type="colorScale" priority="1">
      <x:colorScale>
        <x:cfvo type="min"/>
        <x:cfvo type="percentile" val="50"/>
        <x:cfvo type="max"/>
        <x:color rgb="FFF1E2E2"/>
        <x:color rgb="FFFFF2C2"/>
        <x:color rgb="FFCDE8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3a76e6baccc4e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3.5"/>
  <x:cols>
    <x:col min="1" max="1" width="24" customWidth="1"/>
    <x:col min="2" max="2" width="10" customWidth="1"/>
    <x:col min="3" max="4" width="20" customWidth="1"/>
    <x:col min="4" max="4" width="20" customWidth="1"/>
    <x:col min="5" max="5" width="18" customWidth="1"/>
    <x:col min="6" max="6" width="58" customWidth="1"/>
  </x:cols>
  <x:sheetData>
    <x:row r="1" ht="26" customHeight="1">
      <x:c r="A1" s="13" t="inlineStr">
        <x:is>
          <x:t xml:space="preserve">赛事 ID</x:t>
        </x:is>
      </x:c>
      <x:c r="B1" s="13" t="inlineStr">
        <x:is>
          <x:t xml:space="preserve">年份</x:t>
        </x:is>
      </x:c>
      <x:c r="C1" s="13" t="inlineStr">
        <x:is>
          <x:t xml:space="preserve">赛事名称</x:t>
        </x:is>
      </x:c>
      <x:c r="D1" s="13" t="inlineStr">
        <x:is>
          <x:t xml:space="preserve">显示名称</x:t>
        </x:is>
      </x:c>
      <x:c r="E1" s="13" t="inlineStr">
        <x:is>
          <x:t xml:space="preserve">状态</x:t>
        </x:is>
      </x:c>
      <x:c r="F1" s="13" t="inlineStr">
        <x:is>
          <x:t xml:space="preserve">赛事说明</x:t>
        </x:is>
      </x:c>
    </x:row>
    <x:row r="2" ht="27" customHeight="1">
      <x:c r="A2" s="14" t="inlineStr">
        <x:is>
          <x:t xml:space="preserve">2025-eleven-fangda</x:t>
        </x:is>
      </x:c>
      <x:c r="B2" s="14" t="inlineStr">
        <x:is>
          <x:t xml:space="preserve">2025</x:t>
        </x:is>
      </x:c>
      <x:c r="C2" s="14" t="inlineStr">
        <x:is>
          <x:t xml:space="preserve">十一人制纺大杯</x:t>
        </x:is>
      </x:c>
      <x:c r="D2" s="14" t="inlineStr">
        <x:is>
          <x:t xml:space="preserve">十一人制纺大杯</x:t>
        </x:is>
      </x:c>
      <x:c r="E2" s="14" t="inlineStr">
        <x:is>
          <x:t xml:space="preserve">建队后的首个赛事</x:t>
        </x:is>
      </x:c>
      <x:c r="F2" s="14" t="inlineStr">
        <x:is>
          <x:t xml:space="preserve">从临时凑齐队员、确定位置到真正踏上十一人制赛场，正式比赛从这里开始。</x:t>
        </x:is>
      </x:c>
    </x:row>
    <x:row r="3" ht="27" customHeight="1">
      <x:c r="A3" s="16" t="inlineStr">
        <x:is>
          <x:t xml:space="preserve">2025-freshmen-cup</x:t>
        </x:is>
      </x:c>
      <x:c r="B3" s="16" t="inlineStr">
        <x:is>
          <x:t xml:space="preserve">2025</x:t>
        </x:is>
      </x:c>
      <x:c r="C3" s="16" t="inlineStr">
        <x:is>
          <x:t xml:space="preserve">八人制新生杯</x:t>
        </x:is>
      </x:c>
      <x:c r="D3" s="16" t="inlineStr">
        <x:is>
          <x:t xml:space="preserve">八人制新生杯</x:t>
        </x:is>
      </x:c>
      <x:c r="E3" s="16" t="inlineStr">
        <x:is>
          <x:t xml:space="preserve">首届新生杯</x:t>
        </x:is>
      </x:c>
      <x:c r="F3" s="16" t="inlineStr">
        <x:is>
          <x:t xml:space="preserve">紧密赛程里，球队最终获得第七名。这是第一届新生杯，也是很高的起点。</x:t>
        </x:is>
      </x:c>
    </x:row>
    <x:row r="4">
      <x:c r="A4" s="14" t="inlineStr">
        <x:is>
          <x:t xml:space="preserve">2026-eight-fangda</x:t>
        </x:is>
      </x:c>
      <x:c r="B4" s="14" t="inlineStr">
        <x:is>
          <x:t xml:space="preserve">2026</x:t>
        </x:is>
      </x:c>
      <x:c r="C4" s="14" t="inlineStr">
        <x:is>
          <x:t xml:space="preserve">八人制纺大杯</x:t>
        </x:is>
      </x:c>
      <x:c r="D4" s="14" t="inlineStr">
        <x:is>
          <x:t xml:space="preserve">八人制纺大杯</x:t>
        </x:is>
      </x:c>
      <x:c r="E4" s="14" t="inlineStr">
        <x:is>
          <x:t xml:space="preserve">最新赛事</x:t>
        </x:is>
      </x:c>
      <x:c r="F4" s="14" t="inlineStr">
        <x:is>
          <x:t xml:space="preserve">下学期唯一一项学院足球赛事。这里保留这段比赛记录。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57cef0b97b14a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3.5"/>
  <x:cols>
    <x:col min="1" max="1" width="14" customWidth="1"/>
    <x:col min="2" max="2" width="20" customWidth="1"/>
    <x:col min="3" max="3" width="14" customWidth="1"/>
    <x:col min="4" max="4" width="16" customWidth="1"/>
    <x:col min="5" max="5" width="12" customWidth="1"/>
    <x:col min="6" max="6" width="10" customWidth="1"/>
    <x:col min="7" max="7" width="22" customWidth="1"/>
    <x:col min="8" max="8" width="28" customWidth="1"/>
    <x:col min="9" max="9" width="44" customWidth="1"/>
  </x:cols>
  <x:sheetData>
    <x:row r="1" ht="26" customHeight="1">
      <x:c r="A1" s="13" t="inlineStr">
        <x:is>
          <x:t xml:space="preserve">赛季</x:t>
        </x:is>
      </x:c>
      <x:c r="B1" s="13" t="inlineStr">
        <x:is>
          <x:t xml:space="preserve">赛事名称</x:t>
        </x:is>
      </x:c>
      <x:c r="C1" s="13" t="inlineStr">
        <x:is>
          <x:t xml:space="preserve">日期</x:t>
        </x:is>
      </x:c>
      <x:c r="D1" s="13" t="inlineStr">
        <x:is>
          <x:t xml:space="preserve">对手</x:t>
        </x:is>
      </x:c>
      <x:c r="E1" s="13" t="inlineStr">
        <x:is>
          <x:t xml:space="preserve">比分</x:t>
        </x:is>
      </x:c>
      <x:c r="F1" s="13" t="inlineStr">
        <x:is>
          <x:t xml:space="preserve">赛果</x:t>
        </x:is>
      </x:c>
      <x:c r="G1" s="13" t="inlineStr">
        <x:is>
          <x:t xml:space="preserve">场地</x:t>
        </x:is>
      </x:c>
      <x:c r="H1" s="13" t="inlineStr">
        <x:is>
          <x:t xml:space="preserve">进球者</x:t>
        </x:is>
      </x:c>
      <x:c r="I1" s="13" t="inlineStr">
        <x:is>
          <x:t xml:space="preserve">赛事备注</x:t>
        </x:is>
      </x:c>
    </x:row>
    <x:row r="2">
      <x:c r="A2" s="14" t="inlineStr">
        <x:is>
          <x:t xml:space="preserve">2025-2026</x:t>
        </x:is>
      </x:c>
      <x:c r="B2" s="14" t="inlineStr">
        <x:is>
          <x:t xml:space="preserve">八人制纺大杯</x:t>
        </x:is>
      </x:c>
      <x:c r="C2" s="14" t="inlineStr">
        <x:is>
          <x:t xml:space="preserve">2026-04-16</x:t>
        </x:is>
      </x:c>
      <x:c r="D2" s="14" t="inlineStr">
        <x:is>
          <x:t xml:space="preserve">材料学院</x:t>
        </x:is>
      </x:c>
      <x:c r="E2" s="14" t="inlineStr">
        <x:is>
          <x:t xml:space="preserve">0 : 3</x:t>
        </x:is>
      </x:c>
      <x:c r="F2" s="14" t="inlineStr">
        <x:is>
          <x:t xml:space="preserve">loss</x:t>
        </x:is>
      </x:c>
      <x:c r="G2" s="14" t="inlineStr">
        <x:is>
          <x:t xml:space="preserve">阳光校区足球场</x:t>
        </x:is>
      </x:c>
      <x:c r="H2" s="14" t="inlineStr">
        <x:is>
          <x:t xml:space="preserve">暂无进球记录</x:t>
        </x:is>
      </x:c>
      <x:c r="I2" s="14" t="inlineStr">
        <x:is>
          <x:t xml:space="preserve">八人制纺大杯对阵材料学院。</x:t>
        </x:is>
      </x:c>
    </x:row>
    <x:row r="3">
      <x:c r="A3" s="16" t="inlineStr">
        <x:is>
          <x:t xml:space="preserve">2025-2026</x:t>
        </x:is>
      </x:c>
      <x:c r="B3" s="16" t="inlineStr">
        <x:is>
          <x:t xml:space="preserve">八人制纺大杯</x:t>
        </x:is>
      </x:c>
      <x:c r="C3" s="16" t="inlineStr">
        <x:is>
          <x:t xml:space="preserve">2026-04-08</x:t>
        </x:is>
      </x:c>
      <x:c r="D3" s="16" t="inlineStr">
        <x:is>
          <x:t xml:space="preserve">机智学院</x:t>
        </x:is>
      </x:c>
      <x:c r="E3" s="16" t="inlineStr">
        <x:is>
          <x:t xml:space="preserve">2 : 6</x:t>
        </x:is>
      </x:c>
      <x:c r="F3" s="16" t="inlineStr">
        <x:is>
          <x:t xml:space="preserve">loss</x:t>
        </x:is>
      </x:c>
      <x:c r="G3" s="16" t="inlineStr">
        <x:is>
          <x:t xml:space="preserve">阳光校区足球场</x:t>
        </x:is>
      </x:c>
      <x:c r="H3" s="16" t="inlineStr">
        <x:is>
          <x:t xml:space="preserve">周霄旭 20′ / 周霄旭 40′</x:t>
        </x:is>
      </x:c>
      <x:c r="I3" s="16" t="inlineStr">
        <x:is>
          <x:t xml:space="preserve">周霄旭打入两球。</x:t>
        </x:is>
      </x:c>
    </x:row>
    <x:row r="4">
      <x:c r="A4" s="14" t="inlineStr">
        <x:is>
          <x:t xml:space="preserve">2025-2026</x:t>
        </x:is>
      </x:c>
      <x:c r="B4" s="14" t="inlineStr">
        <x:is>
          <x:t xml:space="preserve">八人制纺大杯</x:t>
        </x:is>
      </x:c>
      <x:c r="C4" s="14" t="inlineStr">
        <x:is>
          <x:t xml:space="preserve">2026-03-30</x:t>
        </x:is>
      </x:c>
      <x:c r="D4" s="14" t="inlineStr">
        <x:is>
          <x:t xml:space="preserve">管理学院</x:t>
        </x:is>
      </x:c>
      <x:c r="E4" s="14" t="inlineStr">
        <x:is>
          <x:t xml:space="preserve">2 : 3</x:t>
        </x:is>
      </x:c>
      <x:c r="F4" s="14" t="inlineStr">
        <x:is>
          <x:t xml:space="preserve">loss</x:t>
        </x:is>
      </x:c>
      <x:c r="G4" s="14" t="inlineStr">
        <x:is>
          <x:t xml:space="preserve">阳光校区足球场</x:t>
        </x:is>
      </x:c>
      <x:c r="H4" s="14" t="inlineStr">
        <x:is>
          <x:t xml:space="preserve">吴宇泽 12′ / 何嗣承 24′</x:t>
        </x:is>
      </x:c>
      <x:c r="I4" s="14" t="inlineStr">
        <x:is>
          <x:t xml:space="preserve">八人制纺大杯对阵管理学院。</x:t>
        </x:is>
      </x:c>
    </x:row>
    <x:row r="5" ht="27" customHeight="1">
      <x:c r="A5" s="16" t="inlineStr">
        <x:is>
          <x:t xml:space="preserve">2025-2026</x:t>
        </x:is>
      </x:c>
      <x:c r="B5" s="16" t="inlineStr">
        <x:is>
          <x:t xml:space="preserve">八人制新生杯</x:t>
        </x:is>
      </x:c>
      <x:c r="C5" s="16" t="inlineStr">
        <x:is>
          <x:t xml:space="preserve">2025-12-18</x:t>
        </x:is>
      </x:c>
      <x:c r="D5" s="16" t="inlineStr">
        <x:is>
          <x:t xml:space="preserve">管理学院</x:t>
        </x:is>
      </x:c>
      <x:c r="E5" s="16" t="inlineStr">
        <x:is>
          <x:t xml:space="preserve">1 : 0</x:t>
        </x:is>
      </x:c>
      <x:c r="F5" s="16" t="inlineStr">
        <x:is>
          <x:t xml:space="preserve">win</x:t>
        </x:is>
      </x:c>
      <x:c r="G5" s="16" t="inlineStr">
        <x:is>
          <x:t xml:space="preserve">阳光校区足球场</x:t>
        </x:is>
      </x:c>
      <x:c r="H5" s="16" t="inlineStr">
        <x:is>
          <x:t xml:space="preserve">彭卓伦 40′</x:t>
        </x:is>
      </x:c>
      <x:c r="I5" s="16" t="inlineStr">
        <x:is>
          <x:t xml:space="preserve">最后一场大家轮换到不熟悉的位置，也更理解了队友的难处。</x:t>
        </x:is>
      </x:c>
    </x:row>
    <x:row r="6">
      <x:c r="A6" s="14" t="inlineStr">
        <x:is>
          <x:t xml:space="preserve">2025-2026</x:t>
        </x:is>
      </x:c>
      <x:c r="B6" s="14" t="inlineStr">
        <x:is>
          <x:t xml:space="preserve">八人制新生杯</x:t>
        </x:is>
      </x:c>
      <x:c r="C6" s="14" t="inlineStr">
        <x:is>
          <x:t xml:space="preserve">2025-12-17</x:t>
        </x:is>
      </x:c>
      <x:c r="D6" s="14" t="inlineStr">
        <x:is>
          <x:t xml:space="preserve">计智学院</x:t>
        </x:is>
      </x:c>
      <x:c r="E6" s="14" t="inlineStr">
        <x:is>
          <x:t xml:space="preserve">0 : 1</x:t>
        </x:is>
      </x:c>
      <x:c r="F6" s="14" t="inlineStr">
        <x:is>
          <x:t xml:space="preserve">loss</x:t>
        </x:is>
      </x:c>
      <x:c r="G6" s="14" t="inlineStr">
        <x:is>
          <x:t xml:space="preserve">阳光校区足球场</x:t>
        </x:is>
      </x:c>
      <x:c r="H6" s="14" t="inlineStr">
        <x:is>
          <x:t xml:space="preserve">暂无进球记录</x:t>
        </x:is>
      </x:c>
      <x:c r="I6" s="14" t="inlineStr">
        <x:is>
          <x:t xml:space="preserve">首次进入淘汰赛，球队最终获得第七名。</x:t>
        </x:is>
      </x:c>
    </x:row>
    <x:row r="7">
      <x:c r="A7" s="16" t="inlineStr">
        <x:is>
          <x:t xml:space="preserve">2025-2026</x:t>
        </x:is>
      </x:c>
      <x:c r="B7" s="16" t="inlineStr">
        <x:is>
          <x:t xml:space="preserve">八人制新生杯</x:t>
        </x:is>
      </x:c>
      <x:c r="C7" s="16" t="inlineStr">
        <x:is>
          <x:t xml:space="preserve">2025-12-16</x:t>
        </x:is>
      </x:c>
      <x:c r="D7" s="16" t="inlineStr">
        <x:is>
          <x:t xml:space="preserve">南湖校区</x:t>
        </x:is>
      </x:c>
      <x:c r="E7" s="16" t="inlineStr">
        <x:is>
          <x:t xml:space="preserve">1 : 3</x:t>
        </x:is>
      </x:c>
      <x:c r="F7" s="16" t="inlineStr">
        <x:is>
          <x:t xml:space="preserve">loss</x:t>
        </x:is>
      </x:c>
      <x:c r="G7" s="16" t="inlineStr">
        <x:is>
          <x:t xml:space="preserve">阳光校区足球场</x:t>
        </x:is>
      </x:c>
      <x:c r="H7" s="16" t="inlineStr">
        <x:is>
          <x:t xml:space="preserve">周霄旭 62′</x:t>
        </x:is>
      </x:c>
      <x:c r="I7" s="16" t="inlineStr">
        <x:is>
          <x:t xml:space="preserve">紧密赛程中的一场比赛。</x:t>
        </x:is>
      </x:c>
    </x:row>
    <x:row r="8">
      <x:c r="A8" s="14" t="inlineStr">
        <x:is>
          <x:t xml:space="preserve">2025-2026</x:t>
        </x:is>
      </x:c>
      <x:c r="B8" s="14" t="inlineStr">
        <x:is>
          <x:t xml:space="preserve">八人制新生杯</x:t>
        </x:is>
      </x:c>
      <x:c r="C8" s="14" t="inlineStr">
        <x:is>
          <x:t xml:space="preserve">2025-12-12</x:t>
        </x:is>
      </x:c>
      <x:c r="D8" s="14" t="inlineStr">
        <x:is>
          <x:t xml:space="preserve">化工学院</x:t>
        </x:is>
      </x:c>
      <x:c r="E8" s="14" t="inlineStr">
        <x:is>
          <x:t xml:space="preserve">2 : 0</x:t>
        </x:is>
      </x:c>
      <x:c r="F8" s="14" t="inlineStr">
        <x:is>
          <x:t xml:space="preserve">win</x:t>
        </x:is>
      </x:c>
      <x:c r="G8" s="14" t="inlineStr">
        <x:is>
          <x:t xml:space="preserve">阳光校区足球场</x:t>
        </x:is>
      </x:c>
      <x:c r="H8" s="14" t="inlineStr">
        <x:is>
          <x:t xml:space="preserve">彭卓伦 30′ / 吴宇泽 42′</x:t>
        </x:is>
      </x:c>
      <x:c r="I8" s="14" t="inlineStr">
        <x:is>
          <x:t xml:space="preserve">小组赛第二场胜利。</x:t>
        </x:is>
      </x:c>
    </x:row>
    <x:row r="9">
      <x:c r="A9" s="16" t="inlineStr">
        <x:is>
          <x:t xml:space="preserve">2025-2026</x:t>
        </x:is>
      </x:c>
      <x:c r="B9" s="16" t="inlineStr">
        <x:is>
          <x:t xml:space="preserve">八人制新生杯</x:t>
        </x:is>
      </x:c>
      <x:c r="C9" s="16" t="inlineStr">
        <x:is>
          <x:t xml:space="preserve">2025-12-08</x:t>
        </x:is>
      </x:c>
      <x:c r="D9" s="16" t="inlineStr">
        <x:is>
          <x:t xml:space="preserve">微电子学院</x:t>
        </x:is>
      </x:c>
      <x:c r="E9" s="16" t="inlineStr">
        <x:is>
          <x:t xml:space="preserve">1 : 0</x:t>
        </x:is>
      </x:c>
      <x:c r="F9" s="16" t="inlineStr">
        <x:is>
          <x:t xml:space="preserve">win</x:t>
        </x:is>
      </x:c>
      <x:c r="G9" s="16" t="inlineStr">
        <x:is>
          <x:t xml:space="preserve">阳光校区足球场</x:t>
        </x:is>
      </x:c>
      <x:c r="H9" s="16" t="inlineStr">
        <x:is>
          <x:t xml:space="preserve">吴宇泽 18′</x:t>
        </x:is>
      </x:c>
      <x:c r="I9" s="16" t="inlineStr">
        <x:is>
          <x:t xml:space="preserve">球队在新生杯拿到首胜。</x:t>
        </x:is>
      </x:c>
    </x:row>
    <x:row r="10">
      <x:c r="A10" s="14" t="inlineStr">
        <x:is>
          <x:t xml:space="preserve">2025-2026</x:t>
        </x:is>
      </x:c>
      <x:c r="B10" s="14" t="inlineStr">
        <x:is>
          <x:t xml:space="preserve">八人制新生杯</x:t>
        </x:is>
      </x:c>
      <x:c r="C10" s="14" t="inlineStr">
        <x:is>
          <x:t xml:space="preserve">2025-12-03</x:t>
        </x:is>
      </x:c>
      <x:c r="D10" s="14" t="inlineStr">
        <x:is>
          <x:t xml:space="preserve">研究生</x:t>
        </x:is>
      </x:c>
      <x:c r="E10" s="14" t="inlineStr">
        <x:is>
          <x:t xml:space="preserve">0 : 5</x:t>
        </x:is>
      </x:c>
      <x:c r="F10" s="14" t="inlineStr">
        <x:is>
          <x:t xml:space="preserve">loss</x:t>
        </x:is>
      </x:c>
      <x:c r="G10" s="14" t="inlineStr">
        <x:is>
          <x:t xml:space="preserve">阳光校区足球场</x:t>
        </x:is>
      </x:c>
      <x:c r="H10" s="14" t="inlineStr">
        <x:is>
          <x:t xml:space="preserve">暂无进球记录</x:t>
        </x:is>
      </x:c>
      <x:c r="I10" s="14" t="inlineStr">
        <x:is>
          <x:t xml:space="preserve">八人制新生杯的第一场记录。</x:t>
        </x:is>
      </x:c>
    </x:row>
    <x:row r="11">
      <x:c r="A11" s="16" t="inlineStr">
        <x:is>
          <x:t xml:space="preserve">2025-2026</x:t>
        </x:is>
      </x:c>
      <x:c r="B11" s="16" t="inlineStr">
        <x:is>
          <x:t xml:space="preserve">十一人制纺大杯</x:t>
        </x:is>
      </x:c>
      <x:c r="C11" s="16" t="inlineStr">
        <x:is>
          <x:t xml:space="preserve">2025-10-28</x:t>
        </x:is>
      </x:c>
      <x:c r="D11" s="16" t="inlineStr">
        <x:is>
          <x:t xml:space="preserve">材料学院</x:t>
        </x:is>
      </x:c>
      <x:c r="E11" s="16" t="inlineStr">
        <x:is>
          <x:t xml:space="preserve">2 : 5</x:t>
        </x:is>
      </x:c>
      <x:c r="F11" s="16" t="inlineStr">
        <x:is>
          <x:t xml:space="preserve">loss</x:t>
        </x:is>
      </x:c>
      <x:c r="G11" s="16" t="inlineStr">
        <x:is>
          <x:t xml:space="preserve">阳光校区足球场</x:t>
        </x:is>
      </x:c>
      <x:c r="H11" s="16" t="inlineStr">
        <x:is>
          <x:t xml:space="preserve">吴宇泽 20′ / 吴宇泽 60′</x:t>
        </x:is>
      </x:c>
      <x:c r="I11" s="16" t="inlineStr">
        <x:is>
          <x:t xml:space="preserve">面对一直帮助球队的材料学院，继续在实战里学习。</x:t>
        </x:is>
      </x:c>
    </x:row>
    <x:row r="12" ht="27" customHeight="1">
      <x:c r="A12" s="14" t="inlineStr">
        <x:is>
          <x:t xml:space="preserve">2025-2026</x:t>
        </x:is>
      </x:c>
      <x:c r="B12" s="14" t="inlineStr">
        <x:is>
          <x:t xml:space="preserve">十一人制纺大杯</x:t>
        </x:is>
      </x:c>
      <x:c r="C12" s="14" t="inlineStr">
        <x:is>
          <x:t xml:space="preserve">2025-10-14</x:t>
        </x:is>
      </x:c>
      <x:c r="D12" s="14" t="inlineStr">
        <x:is>
          <x:t xml:space="preserve">管理学院</x:t>
        </x:is>
      </x:c>
      <x:c r="E12" s="14" t="inlineStr">
        <x:is>
          <x:t xml:space="preserve">2 : 4</x:t>
        </x:is>
      </x:c>
      <x:c r="F12" s="14" t="inlineStr">
        <x:is>
          <x:t xml:space="preserve">loss</x:t>
        </x:is>
      </x:c>
      <x:c r="G12" s="14" t="inlineStr">
        <x:is>
          <x:t xml:space="preserve">阳光校区足球场</x:t>
        </x:is>
      </x:c>
      <x:c r="H12" s="14" t="inlineStr">
        <x:is>
          <x:t xml:space="preserve">周霄旭 20′ / 吴宇泽 40′</x:t>
        </x:is>
      </x:c>
      <x:c r="I12" s="14" t="inlineStr">
        <x:is>
          <x:t xml:space="preserve">球队十一人制正式首战，雨中作战，比分并非一边倒。</x:t>
        </x:is>
      </x:c>
    </x:row>
    <x:row r="13">
      <x:c r="A13" t="str">
        <x:v>2026-2027</x:v>
      </x:c>
      <x:c r="B13" t="str">
        <x:v>十一人制纺大杯</x:v>
      </x:c>
      <x:c r="C13" s="18" t="d">
        <x:v>2026-10-23T00:00:00.000Z</x:v>
      </x:c>
      <x:c r="D13" t="str">
        <x:v>管理学院</x:v>
      </x:c>
      <x:c r="E13" t="str">
        <x:v>2 : 0</x:v>
      </x:c>
      <x:c r="F13" t="str">
        <x:v>win</x:v>
      </x:c>
      <x:c r="G13" t="str">
        <x:v>武汉纺织大学足球场</x:v>
      </x:c>
      <x:c r="H13" t="str">
        <x:v>周霄旭 19′15″（助攻：段世添） / 段世添 60′（助攻：周霄旭）</x:v>
      </x:c>
      <x:c r="I13" t="str">
        <x:v>生康十一人制正式比赛首胜。刘航宇零封，段世添连续第二场当选MVP。</x:v>
      </x:c>
    </x:row>
  </x:sheetData>
  <x:pageMargins left="0.7" right="0.7" top="0.75" bottom="0.75" header="0.3" footer="0.3"/>
  <x:tableParts count="1">
    <x:tablePart xmlns:r="http://schemas.openxmlformats.org/officeDocument/2006/relationships" r:id="R744a14c972e74f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3.5"/>
  <x:cols>
    <x:col min="1" max="1" width="8" customWidth="1"/>
    <x:col min="2" max="2" width="12" customWidth="1"/>
    <x:col min="3" max="3" width="10" customWidth="1"/>
    <x:col min="4" max="4" width="8" customWidth="1"/>
    <x:col min="5" max="5" width="10" customWidth="1"/>
    <x:col min="6" max="6" width="18" customWidth="1"/>
    <x:col min="7" max="7" width="10" customWidth="1"/>
    <x:col min="8" max="8" width="18" customWidth="1"/>
    <x:col min="9" max="9" width="34" customWidth="1"/>
    <x:col min="10" max="10" width="24" customWidth="1"/>
    <x:col min="11" max="11" width="14" customWidth="1"/>
    <x:col min="12" max="12" width="12" customWidth="1"/>
  </x:cols>
  <x:sheetData>
    <x:row r="1" ht="26" customHeight="1">
      <x:c r="A1" s="13" t="inlineStr">
        <x:is>
          <x:t xml:space="preserve">排序</x:t>
        </x:is>
      </x:c>
      <x:c r="B1" s="13" t="inlineStr">
        <x:is>
          <x:t xml:space="preserve">姓名</x:t>
        </x:is>
      </x:c>
      <x:c r="C1" s="13" t="inlineStr">
        <x:is>
          <x:t xml:space="preserve">年级</x:t>
        </x:is>
      </x:c>
      <x:c r="D1" s="13" t="inlineStr">
        <x:is>
          <x:t xml:space="preserve">号码</x:t>
        </x:is>
      </x:c>
      <x:c r="E1" s="13" t="inlineStr">
        <x:is>
          <x:t xml:space="preserve">主位置</x:t>
        </x:is>
      </x:c>
      <x:c r="F1" s="13" t="inlineStr">
        <x:is>
          <x:t xml:space="preserve">可胜任位置</x:t>
        </x:is>
      </x:c>
      <x:c r="G1" s="13" t="inlineStr">
        <x:is>
          <x:t xml:space="preserve">惯用脚</x:t>
        </x:is>
      </x:c>
      <x:c r="H1" s="13" t="inlineStr">
        <x:is>
          <x:t xml:space="preserve">踢球风格</x:t>
        </x:is>
      </x:c>
      <x:c r="I1" s="13" t="inlineStr">
        <x:is>
          <x:t xml:space="preserve">自我介绍</x:t>
        </x:is>
      </x:c>
      <x:c r="J1" s="13" t="inlineStr">
        <x:is>
          <x:t xml:space="preserve">照片文件名</x:t>
        </x:is>
      </x:c>
      <x:c r="K1" s="13" t="inlineStr">
        <x:is>
          <x:t xml:space="preserve">照片焦点</x:t>
        </x:is>
      </x:c>
      <x:c r="L1" s="13" t="inlineStr">
        <x:is>
          <x:t xml:space="preserve">展示状态</x:t>
        </x:is>
      </x:c>
    </x:row>
    <x:row r="2">
      <x:c r="A2" t="n">
        <x:v>1</x:v>
      </x:c>
      <x:c r="B2" t="inlineStr">
        <x:is>
          <x:t xml:space="preserve">段世添</x:t>
        </x:is>
      </x:c>
      <x:c r="C2" t="inlineStr">
        <x:is>
          <x:t xml:space="preserve">2026级</x:t>
        </x:is>
      </x:c>
      <x:c r="D2" t="n">
        <x:v>10</x:v>
      </x:c>
      <x:c r="E2" t="inlineStr">
        <x:is>
          <x:t xml:space="preserve">中锋</x:t>
        </x:is>
      </x:c>
      <x:c r="F2" t="inlineStr">
        <x:is>
          <x:t xml:space="preserve">前腰</x:t>
        </x:is>
      </x:c>
      <x:c r="G2" t="inlineStr">
        <x:is>
          <x:t xml:space="preserve">双脚</x:t>
        </x:is>
      </x:c>
      <x:c r="I2" t="inlineStr">
        <x:is>
          <x:t xml:space="preserve">改变生康历史的男人要来了</x:t>
        </x:is>
      </x:c>
      <x:c r="J2" t="inlineStr">
        <x:is>
          <x:t xml:space="preserve">duanshitian.jpg</x:t>
        </x:is>
      </x:c>
      <x:c r="K2" t="inlineStr">
        <x:is>
          <x:t xml:space="preserve">50% 50%</x:t>
        </x:is>
      </x:c>
      <x:c r="L2" t="inlineStr">
        <x:is>
          <x:t xml:space="preserve">展示</x:t>
        </x:is>
      </x:c>
    </x:row>
    <x:row r="3">
      <x:c r="A3" t="n">
        <x:v>2</x:v>
      </x:c>
      <x:c r="B3" t="inlineStr">
        <x:is>
          <x:t xml:space="preserve">何梁柱</x:t>
        </x:is>
      </x:c>
      <x:c r="C3" t="inlineStr">
        <x:is>
          <x:t xml:space="preserve">2026级</x:t>
        </x:is>
      </x:c>
      <x:c r="D3" t="n">
        <x:v>18</x:v>
      </x:c>
      <x:c r="E3" t="inlineStr">
        <x:is>
          <x:t xml:space="preserve">中场</x:t>
        </x:is>
      </x:c>
      <x:c r="G3" t="inlineStr">
        <x:is>
          <x:t xml:space="preserve">右脚</x:t>
        </x:is>
      </x:c>
      <x:c r="J3" t="inlineStr">
        <x:is>
          <x:t xml:space="preserve">heliangzhu.png</x:t>
        </x:is>
      </x:c>
      <x:c r="K3" t="inlineStr">
        <x:is>
          <x:t xml:space="preserve">50% 50%</x:t>
        </x:is>
      </x:c>
      <x:c r="L3" t="inlineStr">
        <x:is>
          <x:t xml:space="preserve">展示</x:t>
        </x:is>
      </x:c>
    </x:row>
    <x:row r="4">
      <x:c r="A4" t="n">
        <x:v>3</x:v>
      </x:c>
      <x:c r="B4" t="inlineStr">
        <x:is>
          <x:t xml:space="preserve">肖思博</x:t>
        </x:is>
      </x:c>
      <x:c r="C4" t="inlineStr">
        <x:is>
          <x:t xml:space="preserve">2026级</x:t>
        </x:is>
      </x:c>
      <x:c r="D4" t="n">
        <x:v>33</x:v>
      </x:c>
      <x:c r="E4" t="inlineStr">
        <x:is>
          <x:t xml:space="preserve">后卫</x:t>
        </x:is>
      </x:c>
      <x:c r="G4" t="inlineStr">
        <x:is>
          <x:t xml:space="preserve">右脚</x:t>
        </x:is>
      </x:c>
      <x:c r="J4" t="inlineStr">
        <x:is>
          <x:t xml:space="preserve">xiaosibo.jpg</x:t>
        </x:is>
      </x:c>
      <x:c r="K4" t="inlineStr">
        <x:is>
          <x:t xml:space="preserve">50% 50%</x:t>
        </x:is>
      </x:c>
      <x:c r="L4" t="inlineStr">
        <x:is>
          <x:t xml:space="preserve">展示</x:t>
        </x:is>
      </x:c>
    </x:row>
    <x:row r="5">
      <x:c r="A5" t="n">
        <x:v>4</x:v>
      </x:c>
      <x:c r="B5" t="inlineStr">
        <x:is>
          <x:t xml:space="preserve">凌淇</x:t>
        </x:is>
      </x:c>
      <x:c r="C5" t="inlineStr">
        <x:is>
          <x:t xml:space="preserve">2026级</x:t>
        </x:is>
      </x:c>
      <x:c r="D5" t="n">
        <x:v>17</x:v>
      </x:c>
      <x:c r="E5" t="inlineStr">
        <x:is>
          <x:t xml:space="preserve">中前场</x:t>
        </x:is>
      </x:c>
      <x:c r="G5" t="inlineStr">
        <x:is>
          <x:t xml:space="preserve">右脚</x:t>
        </x:is>
      </x:c>
      <x:c r="J5" t="inlineStr">
        <x:is>
          <x:t xml:space="preserve">lingqi.jpg</x:t>
        </x:is>
      </x:c>
      <x:c r="K5" t="inlineStr">
        <x:is>
          <x:t xml:space="preserve">50% 50%</x:t>
        </x:is>
      </x:c>
      <x:c r="L5" t="inlineStr">
        <x:is>
          <x:t xml:space="preserve">展示</x:t>
        </x:is>
      </x:c>
    </x:row>
    <x:row r="6">
      <x:c r="A6" t="n">
        <x:v>5</x:v>
      </x:c>
      <x:c r="B6" t="inlineStr">
        <x:is>
          <x:t xml:space="preserve">雷振廷</x:t>
        </x:is>
      </x:c>
      <x:c r="C6" t="inlineStr">
        <x:is>
          <x:t xml:space="preserve">2026级</x:t>
        </x:is>
      </x:c>
      <x:c r="D6" t="n">
        <x:v>12</x:v>
      </x:c>
      <x:c r="E6" t="inlineStr">
        <x:is>
          <x:t xml:space="preserve">后卫</x:t>
        </x:is>
      </x:c>
      <x:c r="F6" t="inlineStr">
        <x:is>
          <x:t xml:space="preserve">中场</x:t>
        </x:is>
      </x:c>
      <x:c r="G6" t="inlineStr">
        <x:is>
          <x:t xml:space="preserve">右脚</x:t>
        </x:is>
      </x:c>
      <x:c r="J6" t="inlineStr">
        <x:is>
          <x:t xml:space="preserve">leizhenting.png</x:t>
        </x:is>
      </x:c>
      <x:c r="K6" t="inlineStr">
        <x:is>
          <x:t xml:space="preserve">50% 50%</x:t>
        </x:is>
      </x:c>
      <x:c r="L6" t="inlineStr">
        <x:is>
          <x:t xml:space="preserve">展示</x:t>
        </x:is>
      </x:c>
    </x:row>
    <x:row r="7">
      <x:c r="A7" t="n">
        <x:v>6</x:v>
      </x:c>
      <x:c r="B7" t="inlineStr">
        <x:is>
          <x:t xml:space="preserve">蔡照</x:t>
        </x:is>
      </x:c>
      <x:c r="C7" t="inlineStr">
        <x:is>
          <x:t xml:space="preserve">2026级</x:t>
        </x:is>
      </x:c>
      <x:c r="D7" t="n">
        <x:v>6</x:v>
      </x:c>
      <x:c r="E7" t="inlineStr">
        <x:is>
          <x:t xml:space="preserve">边锋</x:t>
        </x:is>
      </x:c>
      <x:c r="G7" t="inlineStr">
        <x:is>
          <x:t xml:space="preserve">右脚</x:t>
        </x:is>
      </x:c>
      <x:c r="J7" t="inlineStr">
        <x:is>
          <x:t xml:space="preserve">caizhao.jpg</x:t>
        </x:is>
      </x:c>
      <x:c r="K7" t="inlineStr">
        <x:is>
          <x:t xml:space="preserve">50% 50%</x:t>
        </x:is>
      </x:c>
      <x:c r="L7" t="inlineStr">
        <x:is>
          <x:t xml:space="preserve">展示</x:t>
        </x:is>
      </x:c>
    </x:row>
    <x:row r="8">
      <x:c r="A8" t="n">
        <x:v>7</x:v>
      </x:c>
      <x:c r="B8" t="inlineStr">
        <x:is>
          <x:t xml:space="preserve">喻新旭</x:t>
        </x:is>
      </x:c>
      <x:c r="C8" t="inlineStr">
        <x:is>
          <x:t xml:space="preserve">2026级</x:t>
        </x:is>
      </x:c>
      <x:c r="D8" t="n">
        <x:v>14</x:v>
      </x:c>
      <x:c r="E8" t="inlineStr">
        <x:is>
          <x:t xml:space="preserve">中锋</x:t>
        </x:is>
      </x:c>
      <x:c r="F8" t="inlineStr">
        <x:is>
          <x:t xml:space="preserve">后卫</x:t>
        </x:is>
      </x:c>
      <x:c r="G8" t="inlineStr">
        <x:is>
          <x:t xml:space="preserve">右脚</x:t>
        </x:is>
      </x:c>
      <x:c r="J8" t="inlineStr">
        <x:is>
          <x:t xml:space="preserve">yuxinxu.jpg</x:t>
        </x:is>
      </x:c>
      <x:c r="K8" t="inlineStr">
        <x:is>
          <x:t xml:space="preserve">50% 50%</x:t>
        </x:is>
      </x:c>
      <x:c r="L8" t="inlineStr">
        <x:is>
          <x:t xml:space="preserve">展示</x:t>
        </x:is>
      </x:c>
    </x:row>
    <x:row r="9">
      <x:c r="A9" t="n">
        <x:v>8</x:v>
      </x:c>
      <x:c r="B9" t="inlineStr">
        <x:is>
          <x:t xml:space="preserve">叶浩</x:t>
        </x:is>
      </x:c>
      <x:c r="C9" t="inlineStr">
        <x:is>
          <x:t xml:space="preserve">2026级</x:t>
        </x:is>
      </x:c>
      <x:c r="D9" t="n">
        <x:v>66</x:v>
      </x:c>
      <x:c r="E9" t="inlineStr">
        <x:is>
          <x:t xml:space="preserve">边锋</x:t>
        </x:is>
      </x:c>
      <x:c r="G9" t="inlineStr">
        <x:is>
          <x:t xml:space="preserve">右脚</x:t>
        </x:is>
      </x:c>
      <x:c r="J9" t="inlineStr">
        <x:is>
          <x:t xml:space="preserve">yehao.jpg</x:t>
        </x:is>
      </x:c>
      <x:c r="K9" t="inlineStr">
        <x:is>
          <x:t xml:space="preserve">50% 50%</x:t>
        </x:is>
      </x:c>
      <x:c r="L9" t="inlineStr">
        <x:is>
          <x:t xml:space="preserve">展示</x:t>
        </x:is>
      </x:c>
    </x:row>
    <x:row r="10">
      <x:c r="A10" t="n">
        <x:v>9</x:v>
      </x:c>
      <x:c r="B10" t="inlineStr">
        <x:is>
          <x:t xml:space="preserve">杨锦泰</x:t>
        </x:is>
      </x:c>
      <x:c r="C10" t="inlineStr">
        <x:is>
          <x:t xml:space="preserve">2026级</x:t>
        </x:is>
      </x:c>
      <x:c r="D10" t="n">
        <x:v>4</x:v>
      </x:c>
      <x:c r="E10" t="inlineStr">
        <x:is>
          <x:t xml:space="preserve">中后卫</x:t>
        </x:is>
      </x:c>
      <x:c r="G10" t="inlineStr">
        <x:is>
          <x:t xml:space="preserve">右脚</x:t>
        </x:is>
      </x:c>
      <x:c r="J10" t="inlineStr">
        <x:is>
          <x:t xml:space="preserve">yangjintai.png</x:t>
        </x:is>
      </x:c>
      <x:c r="K10" t="inlineStr">
        <x:is>
          <x:t xml:space="preserve">50% 0%</x:t>
        </x:is>
      </x:c>
      <x:c r="L10" t="inlineStr">
        <x:is>
          <x:t xml:space="preserve">展示</x:t>
        </x:is>
      </x:c>
    </x:row>
    <x:row r="11">
      <x:c r="A11" t="n">
        <x:v>10</x:v>
      </x:c>
      <x:c r="B11" t="inlineStr">
        <x:is>
          <x:t xml:space="preserve">田杨洋</x:t>
        </x:is>
      </x:c>
      <x:c r="C11" t="inlineStr">
        <x:is>
          <x:t xml:space="preserve">2026级</x:t>
        </x:is>
      </x:c>
      <x:c r="D11" t="n">
        <x:v>22</x:v>
      </x:c>
      <x:c r="E11" t="inlineStr">
        <x:is>
          <x:t xml:space="preserve">后卫</x:t>
        </x:is>
      </x:c>
      <x:c r="G11" t="inlineStr">
        <x:is>
          <x:t xml:space="preserve">右脚</x:t>
        </x:is>
      </x:c>
      <x:c r="J11" t="inlineStr">
        <x:is>
          <x:t xml:space="preserve">tianyangyang.jpg</x:t>
        </x:is>
      </x:c>
      <x:c r="K11" t="inlineStr">
        <x:is>
          <x:t xml:space="preserve">50% 50%</x:t>
        </x:is>
      </x:c>
      <x:c r="L11" t="inlineStr">
        <x:is>
          <x:t xml:space="preserve">展示</x:t>
        </x:is>
      </x:c>
    </x:row>
    <x:row r="12">
      <x:c r="A12" t="n">
        <x:v>11</x:v>
      </x:c>
      <x:c r="B12" t="inlineStr">
        <x:is>
          <x:t xml:space="preserve">段德浩</x:t>
        </x:is>
      </x:c>
      <x:c r="C12" t="inlineStr">
        <x:is>
          <x:t xml:space="preserve">2024级</x:t>
        </x:is>
      </x:c>
      <x:c r="D12" t="n">
        <x:v>37</x:v>
      </x:c>
      <x:c r="E12" t="inlineStr">
        <x:is>
          <x:t xml:space="preserve">前锋</x:t>
        </x:is>
      </x:c>
      <x:c r="F12" t="inlineStr">
        <x:is>
          <x:t xml:space="preserve"/>
        </x:is>
      </x:c>
      <x:c r="G12" t="inlineStr">
        <x:is>
          <x:t xml:space="preserve">右脚</x:t>
        </x:is>
      </x:c>
      <x:c r="H12" t="inlineStr">
        <x:is>
          <x:t xml:space="preserve"/>
        </x:is>
      </x:c>
      <x:c r="I12" t="inlineStr">
        <x:is>
          <x:t xml:space="preserve">2026年加入球队。</x:t>
        </x:is>
      </x:c>
      <x:c r="J12" t="inlineStr">
        <x:is>
          <x:t xml:space="preserve">duandehao.png</x:t>
        </x:is>
      </x:c>
      <x:c r="K12" t="inlineStr">
        <x:is>
          <x:t xml:space="preserve">50% 50%</x:t>
        </x:is>
      </x:c>
      <x:c r="L12" t="inlineStr">
        <x:is>
          <x:t xml:space="preserve">展示</x:t>
        </x:is>
      </x:c>
    </x:row>
    <x:row r="13">
      <x:c r="A13" t="n">
        <x:v>12</x:v>
      </x:c>
      <x:c r="B13" t="str">
        <x:v>方昭炬</x:v>
      </x:c>
      <x:c r="C13" t="str">
        <x:v>2026级</x:v>
      </x:c>
      <x:c r="D13" t="n">
        <x:v>44</x:v>
      </x:c>
      <x:c r="E13" t="str">
        <x:v>位置待定</x:v>
      </x:c>
      <x:c r="F13" t="str"/>
      <x:c r="G13" t="str">
        <x:v>右脚</x:v>
      </x:c>
      <x:c r="H13" t="str"/>
      <x:c r="I13" t="str">
        <x:v>这几天跟肖思博去看球赛，感觉生康球队非常有实力，关键氛围特别好。</x:v>
      </x:c>
      <x:c r="J13" t="str">
        <x:v>fangzhaoju.jpg</x:v>
      </x:c>
      <x:c r="K13" t="str">
        <x:v>50% 50%</x:v>
      </x:c>
      <x:c r="L13" t="str">
        <x:v>展示</x:v>
      </x:c>
    </x:row>
  </x:sheetData>
  <x:pageMargins left="0.7" right="0.7" top="0.75" bottom="0.75" header="0.3" footer="0.3"/>
  <x:tableParts count="1">
    <x:tablePart xmlns:r="http://schemas.openxmlformats.org/officeDocument/2006/relationships" r:id="Rc9258e5c100044b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12" customWidth="1"/>
    <x:col min="3" max="3" width="10" customWidth="1"/>
    <x:col min="4" max="4" width="14" customWidth="1"/>
    <x:col min="5" max="5" width="14" customWidth="1"/>
    <x:col min="6" max="6" width="46" customWidth="1"/>
    <x:col min="7" max="7" width="38" customWidth="1"/>
    <x:col min="8" max="8" width="26" customWidth="1"/>
    <x:col min="9" max="9" width="14" customWidth="1"/>
    <x:col min="10" max="10" width="12" customWidth="1"/>
  </x:cols>
  <x:sheetData>
    <x:row r="1" ht="26" customHeight="1">
      <x:c r="A1" s="13" t="inlineStr">
        <x:is>
          <x:t xml:space="preserve">排序</x:t>
        </x:is>
      </x:c>
      <x:c r="B1" s="13" t="inlineStr">
        <x:is>
          <x:t xml:space="preserve">姓名</x:t>
        </x:is>
      </x:c>
      <x:c r="C1" s="13" t="inlineStr">
        <x:is>
          <x:t xml:space="preserve">年级</x:t>
        </x:is>
      </x:c>
      <x:c r="D1" s="13" t="inlineStr">
        <x:is>
          <x:t xml:space="preserve">加入赛季</x:t>
        </x:is>
      </x:c>
      <x:c r="E1" s="13" t="inlineStr">
        <x:is>
          <x:t xml:space="preserve">身份</x:t>
        </x:is>
      </x:c>
      <x:c r="F1" s="13" t="inlineStr">
        <x:is>
          <x:t xml:space="preserve">职责</x:t>
        </x:is>
      </x:c>
      <x:c r="G1" s="13" t="inlineStr">
        <x:is>
          <x:t xml:space="preserve">个人介绍</x:t>
        </x:is>
      </x:c>
      <x:c r="H1" s="13" t="inlineStr">
        <x:is>
          <x:t xml:space="preserve">照片文件名</x:t>
        </x:is>
      </x:c>
      <x:c r="I1" s="13" t="inlineStr">
        <x:is>
          <x:t xml:space="preserve">照片焦点</x:t>
        </x:is>
      </x:c>
      <x:c r="J1" s="13" t="inlineStr">
        <x:is>
          <x:t xml:space="preserve">展示状态</x:t>
        </x:is>
      </x:c>
    </x:row>
    <x:row r="2">
      <x:c r="A2" t="n">
        <x:v>1</x:v>
      </x:c>
      <x:c r="B2" t="str">
        <x:v>陈涵韵</x:v>
      </x:c>
      <x:c r="C2" t="inlineStr">
        <x:is>
          <x:t xml:space="preserve">2026级</x:t>
        </x:is>
      </x:c>
      <x:c r="D2" t="inlineStr">
        <x:is>
          <x:t xml:space="preserve">2026</x:t>
        </x:is>
      </x:c>
      <x:c r="E2" t="inlineStr">
        <x:is>
          <x:t xml:space="preserve">宣传经理</x:t>
        </x:is>
      </x:c>
      <x:c r="F2" t="inlineStr">
        <x:is>
          <x:t xml:space="preserve">比赛记录、日常事务</x:t>
        </x:is>
      </x:c>
      <x:c r="G2" t="inlineStr">
        <x:is>
          <x:t xml:space="preserve">事在人为</x:t>
        </x:is>
      </x:c>
      <x:c r="H2" t="inlineStr">
        <x:is>
          <x:t xml:space="preserve">chenhanyun.jpg</x:t>
        </x:is>
      </x:c>
      <x:c r="I2" t="inlineStr">
        <x:is>
          <x:t xml:space="preserve">50% 50%</x:t>
        </x:is>
      </x:c>
      <x:c r="J2" t="inlineStr">
        <x:is>
          <x:t xml:space="preserve">展示</x:t>
        </x:is>
      </x:c>
    </x:row>
    <x:row r="3">
      <x:c r="A3" t="n">
        <x:v>2</x:v>
      </x:c>
      <x:c r="B3" t="inlineStr">
        <x:is>
          <x:t xml:space="preserve">刘雨莹</x:t>
        </x:is>
      </x:c>
      <x:c r="C3" t="inlineStr">
        <x:is>
          <x:t xml:space="preserve">2025级</x:t>
        </x:is>
      </x:c>
      <x:c r="D3" t="inlineStr">
        <x:is>
          <x:t xml:space="preserve">2026</x:t>
        </x:is>
      </x:c>
      <x:c r="E3" t="inlineStr">
        <x:is>
          <x:t xml:space="preserve">球队经理</x:t>
        </x:is>
      </x:c>
      <x:c r="G3" t="inlineStr">
        <x:is>
          <x:t xml:space="preserve">欢迎加入我们球队，期待成为大家坚实的后盾</x:t>
        </x:is>
      </x:c>
      <x:c r="H3" t="inlineStr">
        <x:is>
          <x:t xml:space="preserve">liuyuying.png</x:t>
        </x:is>
      </x:c>
      <x:c r="I3" t="inlineStr">
        <x:is>
          <x:t xml:space="preserve">50% 50%</x:t>
        </x:is>
      </x:c>
      <x:c r="J3" t="inlineStr">
        <x:is>
          <x:t xml:space="preserve">展示</x:t>
        </x:is>
      </x:c>
    </x:row>
    <x:row r="4">
      <x:c r="A4" t="n">
        <x:v>3</x:v>
      </x:c>
      <x:c r="B4" t="str">
        <x:v>赵慰冉</x:v>
      </x:c>
      <x:c r="C4" t="str">
        <x:v>2024级</x:v>
      </x:c>
      <x:c r="D4" t="str">
        <x:v>2026</x:v>
      </x:c>
      <x:c r="E4" t="str">
        <x:v>球队经理</x:v>
      </x:c>
      <x:c r="F4" t="str"/>
      <x:c r="G4" t="str">
        <x:v>我再想想</x:v>
      </x:c>
      <x:c r="H4" t="str">
        <x:v>zhaoweiran.jpg</x:v>
      </x:c>
      <x:c r="I4" t="str">
        <x:v>50% 50%</x:v>
      </x:c>
      <x:c r="J4" t="str">
        <x:v>展示</x:v>
      </x:c>
    </x:row>
  </x:sheetData>
  <x:pageMargins left="0.7" right="0.7" top="0.75" bottom="0.75" header="0.3" footer="0.3"/>
  <x:tableParts count="1">
    <x:tablePart xmlns:r="http://schemas.openxmlformats.org/officeDocument/2006/relationships" r:id="Rff6f41b809eb4fa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36" customWidth="1"/>
    <x:col min="5" max="5" width="36" customWidth="1"/>
    <x:col min="6" max="6" width="36" customWidth="1"/>
    <x:col min="7" max="7" width="36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</x:cols>
  <x:sheetData>
    <x:row r="1">
      <x:c r="A1" s="7" t="inlineStr">
        <x:is>
          <x:t xml:space="preserve">公告ID</x:t>
        </x:is>
      </x:c>
      <x:c r="B1" s="7" t="inlineStr">
        <x:is>
          <x:t xml:space="preserve">分类</x:t>
        </x:is>
      </x:c>
      <x:c r="C1" s="7" t="inlineStr">
        <x:is>
          <x:t xml:space="preserve">发布日期</x:t>
        </x:is>
      </x:c>
      <x:c r="D1" s="7" t="inlineStr">
        <x:is>
          <x:t xml:space="preserve">标题</x:t>
        </x:is>
      </x:c>
      <x:c r="E1" s="7" t="inlineStr">
        <x:is>
          <x:t xml:space="preserve">摘要</x:t>
        </x:is>
      </x:c>
      <x:c r="F1" s="7" t="inlineStr">
        <x:is>
          <x:t xml:space="preserve">正文</x:t>
        </x:is>
      </x:c>
      <x:c r="G1" s="7" t="inlineStr">
        <x:is>
          <x:t xml:space="preserve">名单</x:t>
        </x:is>
      </x:c>
      <x:c r="H1" s="7" t="inlineStr">
        <x:is>
          <x:t xml:space="preserve">配图</x:t>
        </x:is>
      </x:c>
      <x:c r="I1" s="7" t="inlineStr">
        <x:is>
          <x:t xml:space="preserve">图片说明</x:t>
        </x:is>
      </x:c>
      <x:c r="J1" s="7" t="inlineStr">
        <x:is>
          <x:t xml:space="preserve">关联链接</x:t>
        </x:is>
      </x:c>
      <x:c r="K1" s="7" t="inlineStr">
        <x:is>
          <x:t xml:space="preserve">链接文字</x:t>
        </x:is>
      </x:c>
      <x:c r="L1" s="7" t="inlineStr">
        <x:is>
          <x:t xml:space="preserve">发布状态</x:t>
        </x:is>
      </x:c>
      <x:c r="M1" s="7" t="inlineStr">
        <x:is>
          <x:t xml:space="preserve">置顶</x:t>
        </x:is>
      </x:c>
    </x:row>
    <x:row r="2" ht="190" customHeight="1">
      <x:c r="A2" t="inlineStr">
        <x:is>
          <x:t xml:space="preserve">welcome-2026</x:t>
        </x:is>
      </x:c>
      <x:c r="B2" t="inlineStr">
        <x:is>
          <x:t xml:space="preserve">新人加入</x:t>
        </x:is>
      </x:c>
      <x:c r="C2" t="inlineStr">
        <x:is>
          <x:t xml:space="preserve">2026-09-22</x:t>
        </x:is>
      </x:c>
      <x:c r="D2" t="inlineStr">
        <x:is>
          <x:t xml:space="preserve">欢迎2026级新队员加入生康足球队</x:t>
        </x:is>
      </x:c>
      <x:c r="E2" t="inlineStr">
        <x:is>
          <x:t xml:space="preserve">九位新面孔，带着对足球的热爱加入球队。欢迎你们，一起迎接新赛季。</x:t>
        </x:is>
      </x:c>
      <x:c r="F2" t="inlineStr">
        <x:is>
          <x:t xml:space="preserve">2026年9月，生康足球队迎来了新一届队员。截至本次公告，官网已收录九位2026级新队员的资料。
从第一次见面到并肩上场，期待大家在训练与比赛中熟悉彼此、共同成长。欢迎加入生康足球队！
新队员资料及照片已上线，大家也可以在自由战术板中选择新队员进行排阵。</x:t>
        </x:is>
      </x:c>
      <x:c r="G2" t="inlineStr">
        <x:is>
          <x:t xml:space="preserve">段世添、何梁柱、肖思博、凌淇、雷振廷、蔡照、喻新旭、叶浩、杨锦泰</x:t>
        </x:is>
      </x:c>
      <x:c r="H2" t="inlineStr">
        <x:is>
          <x:t xml:space="preserve">assets/photos/newcomer-meetup-2026-09-15.jpg</x:t>
        </x:is>
      </x:c>
      <x:c r="I2" t="inlineStr">
        <x:is>
          <x:t xml:space="preserve">2026年9月15日 · 新生见面会合影</x:t>
        </x:is>
      </x:c>
      <x:c r="J2" t="inlineStr">
        <x:is>
          <x:t xml:space="preserve">#team</x:t>
        </x:is>
      </x:c>
      <x:c r="K2" t="inlineStr">
        <x:is>
          <x:t xml:space="preserve">认识新队员</x:t>
        </x:is>
      </x:c>
      <x:c r="L2" t="inlineStr">
        <x:is>
          <x:t xml:space="preserve">发布</x:t>
        </x:is>
      </x:c>
      <x:c r="M2" t="inlineStr">
        <x:is>
          <x:t xml:space="preserve">是</x:t>
        </x:is>
      </x:c>
    </x:row>
    <x:row r="3">
      <x:c r="A3" t="inlineStr">
        <x:is>
          <x:t xml:space="preserve">welcome-tianyangyang-2026</x:t>
        </x:is>
      </x:c>
      <x:c r="B3" t="inlineStr">
        <x:is>
          <x:t xml:space="preserve">新人加入</x:t>
        </x:is>
      </x:c>
      <x:c r="C3" t="inlineStr">
        <x:is>
          <x:t xml:space="preserve">2026-10-01</x:t>
        </x:is>
      </x:c>
      <x:c r="D3" t="inlineStr">
        <x:is>
          <x:t xml:space="preserve">欢迎2026级新队员田杨洋加入球队</x:t>
        </x:is>
      </x:c>
      <x:c r="E3" t="inlineStr">
        <x:is>
          <x:t xml:space="preserve">田杨洋的球员资料已上线：2026级，22号，后卫，惯用右脚。</x:t>
        </x:is>
      </x:c>
      <x:c r="F3" t="inlineStr">
        <x:is>
          <x:t xml:space="preserve">欢迎田杨洋加入生康足球队！期待在新赛季一起训练、并肩上场。</x:t>
        </x:is>
      </x:c>
      <x:c r="G3" t="inlineStr">
        <x:is>
          <x:t xml:space="preserve">田杨洋</x:t>
        </x:is>
      </x:c>
      <x:c r="H3" t="inlineStr">
        <x:is>
          <x:t xml:space="preserve">assets/players/showcase/tianyangyang-640.webp</x:t>
        </x:is>
      </x:c>
      <x:c r="I3" t="inlineStr">
        <x:is>
          <x:t xml:space="preserve">田杨洋 · 2026级 · 22号</x:t>
        </x:is>
      </x:c>
      <x:c r="J3" t="inlineStr">
        <x:is>
          <x:t xml:space="preserve">#team</x:t>
        </x:is>
      </x:c>
      <x:c r="K3" t="inlineStr">
        <x:is>
          <x:t xml:space="preserve">查看球队成员</x:t>
        </x:is>
      </x:c>
      <x:c r="L3" t="inlineStr">
        <x:is>
          <x:t xml:space="preserve">发布</x:t>
        </x:is>
      </x:c>
      <x:c r="M3" t="inlineStr">
        <x:is>
          <x:t xml:space="preserve">否</x:t>
        </x:is>
      </x:c>
    </x:row>
    <x:row r="4">
      <x:c r="A4" t="inlineStr">
        <x:is>
          <x:t xml:space="preserve">fangda-cup-draw-2026</x:t>
        </x:is>
      </x:c>
      <x:c r="B4" t="inlineStr">
        <x:is>
          <x:t xml:space="preserve">赛事预告</x:t>
        </x:is>
      </x:c>
      <x:c r="C4" t="inlineStr">
        <x:is>
          <x:t xml:space="preserve">2026-10-01</x:t>
        </x:is>
      </x:c>
      <x:c r="D4" t="inlineStr">
        <x:is>
          <x:t xml:space="preserve">纺大杯抽签结果及赛前注意事项</x:t>
        </x:is>
      </x:c>
      <x:c r="E4" t="inlineStr">
        <x:is>
          <x:t xml:space="preserve">生康分入D组，与材料、管理同组。小组赛采用积分制，前两名出线。请全体队员认真阅读赛前须知。</x:t>
        </x:is>
      </x:c>
      <x:c r="F4" t="inlineStr">
        <x:is>
          <x:t xml:space="preserve">一、抽签结果
A组：研究生、经济、南湖联队。
B组：机械、纺织、微电子。
C组：计算机、电气、化环。
D组：材料、生康、管理。
小组赛采用积分制，各组前两名出线。具体比赛时间待后续公布。
二、赛前须知（根据老师赛前通知整理）
1. 统一着装：队服、长袜、护腿板（长板子）。
2. 球鞋要求：必须穿足球鞋，不允许钢钉、铁钉、长钉，建议穿碎钉。
3. 换人流程：队内沟通好后，先找第四官员登记；先下后上，在一分钟内完成。下场可从任意位置离场，但上场只能从规定位置进入，否则可能被处罚。
4. 与裁判沟通：只有佩戴队长袖标的人可以与主裁判沟通，否则可能被处罚。
5. 特殊情况：无法比赛的院队，须提前24小时告知裁判组安排补赛，否则视为弃赛。
6. 到场与迟到：比赛前15分钟必须至少有7人到场；迟到15分钟之后不允许上场。
7. 判罚手势：各位队员须认识直接任意球、间接任意球、边线球等常见判罚手势。
8. 以哨声为准：球场上一切以主裁判哨声为主；主裁判若没有吹哨，比赛继续正常进行。
请全体队员提前检查装备，熟悉参赛要求，并留意后续赛程通知。</x:t>
        </x:is>
      </x:c>
      <x:c r="H4" t="inlineStr">
        <x:is>
          <x:t xml:space="preserve">assets/photos/fangda-cup-draw-2026.jpg</x:t>
        </x:is>
      </x:c>
      <x:c r="I4" t="inlineStr">
        <x:is>
          <x:t xml:space="preserve">本次纺大杯抽签结果（原图）</x:t>
        </x:is>
      </x:c>
      <x:c r="J4" t="inlineStr">
        <x:is>
          <x:t xml:space="preserve">#matches</x:t>
        </x:is>
      </x:c>
      <x:c r="K4" t="inlineStr">
        <x:is>
          <x:t xml:space="preserve">查看赛事栏目</x:t>
        </x:is>
      </x:c>
      <x:c r="L4" t="inlineStr">
        <x:is>
          <x:t xml:space="preserve">发布</x:t>
        </x:is>
      </x:c>
      <x:c r="M4" t="inlineStr">
        <x:is>
          <x:t xml:space="preserve">否</x:t>
        </x:is>
      </x:c>
    </x:row>
    <x:row r="5">
      <x:c r="A5" t="inlineStr">
        <x:is>
          <x:t xml:space="preserve">welcome-duandehao-2026</x:t>
        </x:is>
      </x:c>
      <x:c r="B5" t="inlineStr">
        <x:is>
          <x:t xml:space="preserve">新人加入</x:t>
        </x:is>
      </x:c>
      <x:c r="C5" t="inlineStr">
        <x:is>
          <x:t xml:space="preserve">2026-10-05</x:t>
        </x:is>
      </x:c>
      <x:c r="D5" t="inlineStr">
        <x:is>
          <x:t xml:space="preserve">欢迎段德浩加入生康足球队</x:t>
        </x:is>
      </x:c>
      <x:c r="E5" t="inlineStr">
        <x:is>
          <x:t xml:space="preserve">段德浩今年加入生康足球队：2024级，37号，前锋，惯用右脚。</x:t>
        </x:is>
      </x:c>
      <x:c r="F5" t="inlineStr">
        <x:is>
          <x:t xml:space="preserve">欢迎段德浩加入生康足球队！段德浩是2024级同学，今年正式加入球队，身披37号，司职前锋，惯用右脚。
期待他在训练和比赛中尽快融入球队，与大家一起为新赛季贡献力量。</x:t>
        </x:is>
      </x:c>
      <x:c r="G5" t="inlineStr">
        <x:is>
          <x:t xml:space="preserve">段德浩</x:t>
        </x:is>
      </x:c>
      <x:c r="H5" t="inlineStr">
        <x:is>
          <x:t xml:space="preserve">assets/players/showcase/duandehao-640.webp</x:t>
        </x:is>
      </x:c>
      <x:c r="I5" t="inlineStr">
        <x:is>
          <x:t xml:space="preserve">段德浩 · 2024级 · 37号</x:t>
        </x:is>
      </x:c>
      <x:c r="J5" t="inlineStr">
        <x:is>
          <x:t xml:space="preserve">#team</x:t>
        </x:is>
      </x:c>
      <x:c r="K5" t="inlineStr">
        <x:is>
          <x:t xml:space="preserve">查看球队成员</x:t>
        </x:is>
      </x:c>
      <x:c r="L5" t="inlineStr">
        <x:is>
          <x:t xml:space="preserve">发布</x:t>
        </x:is>
      </x:c>
      <x:c r="M5" t="inlineStr">
        <x:is>
          <x:t xml:space="preserve">否</x:t>
        </x:is>
      </x:c>
    </x:row>
    <x:row r="6">
      <x:c r="A6" t="str">
        <x:v>douyin-account-2026</x:v>
      </x:c>
      <x:c r="B6" t="str">
        <x:v>球队动态</x:v>
      </x:c>
      <x:c r="C6" t="str">
        <x:v>2026-10-17</x:v>
      </x:c>
      <x:c r="D6" t="str">
        <x:v>纺大杯首战记录及球队抖音上线</x:v>
      </x:c>
      <x:c r="E6" t="str">
        <x:v>10月16日对阵材料学院的比赛档案、照片和球队抖音账号已同步上线。</x:v>
      </x:c>
      <x:c r="F6" t="str">
        <x:v>生康足球队官网已更新10月16日十一人制纺大杯对阵材料学院的比赛档案，补充本场5张比赛照片；本场摄影：陈涵韵、刘雨莹。
比赛详情页已同步2:3比分、4-4-2阵容、刘航宇首发门将、吴全银第50分钟替补登场、进球事件、赛后记和本场MVP段世添。官网个人数据继续按逐场记录自动汇总，重复更新不会重复增加出场次数。
生康足球队抖音账号正式上线，抖音号：67421116473。比赛录像和球队动态会陆续发布，欢迎大家关注。本场段世添进球的助攻人、对方进球时间和完整比赛录像链接仍待补充。</x:v>
      </x:c>
      <x:c r="G6" t="str">
        <x:v>陈涵韵、刘雨莹</x:v>
      </x:c>
      <x:c r="H6" t="str">
        <x:v>assets/photos/douyin-account-2026.jpg</x:v>
      </x:c>
      <x:c r="I6" t="str">
        <x:v>生康足球队抖音账号主页 · 抖音号 67421116473</x:v>
      </x:c>
      <x:c r="J6" t="str">
        <x:v>#match/2026-10-16-eleven-material</x:v>
      </x:c>
      <x:c r="K6" t="str">
        <x:v>查看本场比赛档案</x:v>
      </x:c>
      <x:c r="L6" t="str">
        <x:v>发布</x:v>
      </x:c>
      <x:c r="M6" t="str">
        <x:v>是</x:v>
      </x:c>
    </x:row>
    <x:row r="7">
      <x:c r="A7" t="str">
        <x:v>welcome-zhaoweiran-2026</x:v>
      </x:c>
      <x:c r="B7" t="str">
        <x:v>新人加入</x:v>
      </x:c>
      <x:c r="C7" t="str">
        <x:v>2026-10-21</x:v>
      </x:c>
      <x:c r="D7" t="str">
        <x:v>欢迎赵慰冉加入生康足球队</x:v>
      </x:c>
      <x:c r="E7" t="str">
        <x:v>欢迎2024级赵慰冉以球队经理身份加入生康足球队，经理资料已同步至官网。</x:v>
      </x:c>
      <x:c r="F7" t="str">
        <x:v>生康足球队迎来一位新的球队经理——2024级赵慰冉。
赵慰冉的经理资料已同步至官网经理栏目，身份为球队经理，个人介绍为“我再想想”。
欢迎赵慰冉加入生康足球队，期待今后一起记录更多比赛和球队故事。</x:v>
      </x:c>
      <x:c r="G7" t="str">
        <x:v>赵慰冉</x:v>
      </x:c>
      <x:c r="H7" t="str">
        <x:v>assets/managers/zhaoweiran.jpg</x:v>
      </x:c>
      <x:c r="I7" t="str">
        <x:v>赵慰冉 · 2024级 · 球队经理</x:v>
      </x:c>
      <x:c r="J7" t="str">
        <x:v>#team</x:v>
      </x:c>
      <x:c r="K7" t="str">
        <x:v>查看球队经理</x:v>
      </x:c>
      <x:c r="L7" t="str">
        <x:v>发布</x:v>
      </x:c>
      <x:c r="M7" t="str">
        <x:v>是</x:v>
      </x:c>
    </x:row>
    <x:row r="8">
      <x:c r="A8" t="str">
        <x:v>welcome-fangzhaoju-2026</x:v>
      </x:c>
      <x:c r="B8" t="str">
        <x:v>新人加入</x:v>
      </x:c>
      <x:c r="C8" t="str">
        <x:v>2026-10-21</x:v>
      </x:c>
      <x:c r="D8" t="str">
        <x:v>欢迎方昭炬加入生康足球队</x:v>
      </x:c>
      <x:c r="E8" t="str">
        <x:v>2026级新队员方昭炬加入球队：44号，惯用右脚，场上位置待定。</x:v>
      </x:c>
      <x:c r="F8" t="str">
        <x:v>生康足球队迎来一位新的2026级队员——方昭炬，球衣号码44号，惯用右脚。
方昭炬的球员资料和照片已同步至官网新生展示及球队成员栏目。其场上位置目前待定，个人统计将从0开始，并在今后的比赛记录中自动累计。
欢迎方昭炬加入生康足球队。期待一起训练、看球、比赛，继续感受并融入球队的良好氛围。</x:v>
      </x:c>
      <x:c r="G8" t="str">
        <x:v>方昭炬</x:v>
      </x:c>
      <x:c r="H8" t="str">
        <x:v>assets/players/showcase/fangzhaoju-640.webp</x:v>
      </x:c>
      <x:c r="I8" t="str">
        <x:v>方昭炬 · 2026级 · 44号</x:v>
      </x:c>
      <x:c r="J8" t="str">
        <x:v>#team</x:v>
      </x:c>
      <x:c r="K8" t="str">
        <x:v>查看球队成员</x:v>
      </x:c>
      <x:c r="L8" t="str">
        <x:v>发布</x:v>
      </x:c>
      <x:c r="M8" t="str">
        <x:v>是</x:v>
      </x:c>
    </x:row>
    <x:row r="9">
      <x:c r="A9" t="str">
        <x:v>eleven-first-win-management-2026</x:v>
      </x:c>
      <x:c r="B9" t="str">
        <x:v>比赛战报</x:v>
      </x:c>
      <x:c r="C9" s="18" t="d">
        <x:v>2026-10-24T00:00:00.000Z</x:v>
      </x:c>
      <x:c r="D9" t="str">
        <x:v>十一人制首胜，生康2:0战胜管理</x:v>
      </x:c>
      <x:c r="E9" t="str">
        <x:v>10月23日，生康2:0战胜管理学院，取得球队十一人制正式比赛首胜。</x:v>
      </x:c>
      <x:c r="F9" t="str">
        <x:v>10月23日，生康足球队在十一人制纺大杯小组赛中以2:0战胜管理学院，取得球队十一人制正式比赛首胜。半年前的遗憾没有重演，生康终于站在了胜利的一方。
第19分15秒，段世添助攻周霄旭右脚抽射破门；第60分钟，周霄旭送出助攻，段世添一条龙推进后在禁区外轰出世界波锁定胜局。刘航宇完成零封，段世添连续第二场当选本场MVP。
完整比分、4-4-2阵容、换人、进球、场外录制和赛后记录已同步至官网，所有出场及个人数据均由本场比赛明细自动累计。本场照片与完整比赛录像暂未收录，后续如有将继续补充。</x:v>
      </x:c>
      <x:c r="G9" t="str">
        <x:v>周霄旭、段世添、刘航宇</x:v>
      </x:c>
      <x:c r="H9" t="str"/>
      <x:c r="I9" t="str"/>
      <x:c r="J9" t="str">
        <x:v>#match/2026-10-23-eleven-management</x:v>
      </x:c>
      <x:c r="K9" t="str">
        <x:v>查看本场比赛档案</x:v>
      </x:c>
      <x:c r="L9" t="str">
        <x:v>发布</x:v>
      </x:c>
      <x:c r="M9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ec30638b050f44c1"/>
  </x:tableParts>
</x:worksheet>
</file>