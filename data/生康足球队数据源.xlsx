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1" autoFilterDateGrouping="1"/>
  </bookViews>
  <sheets>
    <sheet name="统计汇总" sheetId="1" state="visible" r:id="rId1"/>
    <sheet name="球员数据" sheetId="2" state="visible" r:id="rId2"/>
    <sheet name="赛事索引" sheetId="3" state="visible" r:id="rId3"/>
    <sheet name="赛程" sheetId="4" state="visible" r:id="rId4"/>
    <sheet name="新生展示" sheetId="5" state="visible" r:id="rId5"/>
    <sheet name="球队经理" sheetId="6" state="visible" r:id="rId6"/>
  </sheets>
  <definedNames>
    <definedName name="_xlnm._FilterDatabase" localSheetId="1" hidden="1">'球员数据'!$A$1:$O$18</definedName>
    <definedName name="_xlnm._FilterDatabase" localSheetId="2" hidden="1">'赛事索引'!$A$1:$F$4</definedName>
    <definedName name="_xlnm._FilterDatabase" localSheetId="3" hidden="1">'赛程'!$A$1:$I$12</definedName>
    <definedName name="_xlnm._FilterDatabase" localSheetId="4" hidden="1">'新生展示'!$A$1:$L$1</definedName>
    <definedName name="_xlnm._FilterDatabase" localSheetId="5" hidden="1">'球队经理'!$A$1:$J$1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color rgb="FFFFFFFF"/>
      <sz val="16"/>
      <scheme val="minor"/>
    </font>
    <font>
      <name val="宋体"/>
      <charset val="134"/>
      <b val="1"/>
      <color rgb="FF0F3D2A"/>
      <sz val="11"/>
      <scheme val="minor"/>
    </font>
    <font>
      <name val="宋体"/>
      <charset val="134"/>
      <b val="1"/>
      <color rgb="FF1F7A4D"/>
      <sz val="13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</fonts>
  <fills count="40">
    <fill>
      <patternFill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7A4D"/>
      </patternFill>
    </fill>
    <fill>
      <patternFill patternType="solid">
        <fgColor rgb="00FFFDF8"/>
      </patternFill>
    </fill>
    <fill>
      <patternFill patternType="solid">
        <fgColor rgb="00EAF3EC"/>
      </patternFill>
    </fill>
  </fills>
  <borders count="12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00B9D7C2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6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4" applyAlignment="1">
      <alignment vertical="center"/>
    </xf>
    <xf numFmtId="0" fontId="11" fillId="0" borderId="4" applyAlignment="1">
      <alignment vertical="center"/>
    </xf>
    <xf numFmtId="0" fontId="12" fillId="0" borderId="5" applyAlignment="1">
      <alignment vertical="center"/>
    </xf>
    <xf numFmtId="0" fontId="12" fillId="0" borderId="0" applyAlignment="1">
      <alignment vertical="center"/>
    </xf>
    <xf numFmtId="0" fontId="13" fillId="7" borderId="6" applyAlignment="1">
      <alignment vertical="center"/>
    </xf>
    <xf numFmtId="0" fontId="14" fillId="8" borderId="7" applyAlignment="1">
      <alignment vertical="center"/>
    </xf>
    <xf numFmtId="0" fontId="15" fillId="8" borderId="6" applyAlignment="1">
      <alignment vertical="center"/>
    </xf>
    <xf numFmtId="0" fontId="16" fillId="9" borderId="8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2" fillId="36" borderId="0" applyAlignment="1">
      <alignment vertical="center"/>
    </xf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1" fillId="2" borderId="2" applyAlignment="1" pivotButton="0" quotePrefix="0" xfId="0">
      <alignment horizontal="center" vertical="center"/>
    </xf>
    <xf numFmtId="164" fontId="0" fillId="3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2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4" fillId="37" borderId="2" applyAlignment="1" pivotButton="0" quotePrefix="0" xfId="0">
      <alignment horizontal="center" vertical="center"/>
    </xf>
    <xf numFmtId="0" fontId="24" fillId="37" borderId="0" applyAlignment="1" pivotButton="0" quotePrefix="0" xfId="0">
      <alignment horizontal="center" vertical="center"/>
    </xf>
    <xf numFmtId="0" fontId="0" fillId="38" borderId="11" applyAlignment="1" pivotButton="0" quotePrefix="0" xfId="0">
      <alignment vertical="center" wrapText="1"/>
    </xf>
    <xf numFmtId="164" fontId="0" fillId="38" borderId="11" applyAlignment="1" pivotButton="0" quotePrefix="0" xfId="0">
      <alignment vertical="center" wrapText="1"/>
    </xf>
    <xf numFmtId="0" fontId="0" fillId="39" borderId="11" applyAlignment="1" pivotButton="0" quotePrefix="0" xfId="0">
      <alignment vertical="center" wrapText="1"/>
    </xf>
    <xf numFmtId="164" fontId="0" fillId="39" borderId="1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PlayerStats" displayName="PlayerStats" ref="A1:O18" headerRowCount="1">
  <autoFilter ref="A1:O18"/>
  <tableColumns count="15">
    <tableColumn id="1" name="序号"/>
    <tableColumn id="2" name="姓名"/>
    <tableColumn id="3" name="绰号"/>
    <tableColumn id="4" name="号码"/>
    <tableColumn id="5" name="主位置"/>
    <tableColumn id="6" name="可胜任位置"/>
    <tableColumn id="7" name="出场"/>
    <tableColumn id="8" name="进球"/>
    <tableColumn id="9" name="助攻"/>
    <tableColumn id="10" name="MVP"/>
    <tableColumn id="11" name="零封"/>
    <tableColumn id="12" name="低失球场"/>
    <tableColumn id="13" name="评分"/>
    <tableColumn id="14" name="踢球风格"/>
    <tableColumn id="15" name="代表数据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mpetitionIndex" displayName="CompetitionIndex" ref="A1:F4" headerRowCount="1">
  <autoFilter ref="A1:F4"/>
  <tableColumns count="6">
    <tableColumn id="1" name="赛事 ID"/>
    <tableColumn id="2" name="年份"/>
    <tableColumn id="3" name="赛事名称"/>
    <tableColumn id="4" name="显示名称"/>
    <tableColumn id="5" name="状态"/>
    <tableColumn id="6" name="赛事说明"/>
  </tableColumns>
  <tableStyleInfo name="TableStyleMedium4" showFirstColumn="0" showLastColumn="0" showRowStripes="0" showColumnStripes="0"/>
</table>
</file>

<file path=xl/tables/table3.xml><?xml version="1.0" encoding="utf-8"?>
<table xmlns="http://schemas.openxmlformats.org/spreadsheetml/2006/main" id="3" name="MatchSchedule" displayName="MatchSchedule" ref="A1:I12" headerRowCount="1">
  <autoFilter ref="A1:I12"/>
  <tableColumns count="9">
    <tableColumn id="1" name="赛季"/>
    <tableColumn id="2" name="赛事名称"/>
    <tableColumn id="3" name="日期"/>
    <tableColumn id="4" name="对手"/>
    <tableColumn id="5" name="比分"/>
    <tableColumn id="6" name="赛果"/>
    <tableColumn id="7" name="场地"/>
    <tableColumn id="8" name="进球者"/>
    <tableColumn id="9" name="赛事备注"/>
  </tableColumns>
  <tableStyleInfo name="TableStyleMedium4" showFirstColumn="0" showLastColumn="0" showRowStripes="0" showColumnStripes="0"/>
</table>
</file>

<file path=xl/tables/table4.xml><?xml version="1.0" encoding="utf-8"?>
<table xmlns="http://schemas.openxmlformats.org/spreadsheetml/2006/main" id="4" name="NewcomerShowcase" displayName="NewcomerShowcase" ref="A1:L1" headerRowCount="1">
  <autoFilter ref="A1:L1"/>
  <tableColumns count="12">
    <tableColumn id="1" name="排序"/>
    <tableColumn id="2" name="姓名"/>
    <tableColumn id="3" name="年级"/>
    <tableColumn id="4" name="号码"/>
    <tableColumn id="5" name="主位置"/>
    <tableColumn id="6" name="可胜任位置"/>
    <tableColumn id="7" name="惯用脚"/>
    <tableColumn id="8" name="踢球风格"/>
    <tableColumn id="9" name="自我介绍"/>
    <tableColumn id="10" name="照片文件名"/>
    <tableColumn id="11" name="照片焦点"/>
    <tableColumn id="12" name="展示状态"/>
  </tableColumns>
  <tableStyleInfo name="TableStyleMedium4" showFirstColumn="0" showLastColumn="0" showRowStripes="0" showColumnStripes="0"/>
</table>
</file>

<file path=xl/tables/table5.xml><?xml version="1.0" encoding="utf-8"?>
<table xmlns="http://schemas.openxmlformats.org/spreadsheetml/2006/main" id="5" name="TeamManagers" displayName="TeamManagers" ref="A1:J1" headerRowCount="1">
  <autoFilter ref="A1:J1"/>
  <tableColumns count="10">
    <tableColumn id="1" name="排序"/>
    <tableColumn id="2" name="姓名"/>
    <tableColumn id="3" name="年级"/>
    <tableColumn id="4" name="加入赛季"/>
    <tableColumn id="5" name="身份"/>
    <tableColumn id="6" name="职责"/>
    <tableColumn id="7" name="个人介绍"/>
    <tableColumn id="8" name="照片文件名"/>
    <tableColumn id="9" name="照片焦点"/>
    <tableColumn id="10" name="展示状态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D8"/>
  <s:sheetViews>
    <s:sheetView showGridLines="0" workbookViewId="0">
      <s:selection activeCell="D30" sqref="D30"/>
    </s:sheetView>
  </s:sheetViews>
  <s:sheetFormatPr baseColWidth="8" defaultColWidth="9" defaultRowHeight="13.5" outlineLevelRow="7"/>
  <s:cols>
    <s:col width="16" customWidth="1" min="1" max="1"/>
    <s:col width="22" customWidth="1" min="2" max="2"/>
    <s:col width="4" customWidth="1" min="3" max="3"/>
    <s:col width="46" customWidth="1" min="4" max="4"/>
  </s:cols>
  <s:sheetData>
    <s:row r="1" ht="32" customHeight="1">
      <s:c r="A1" s="7" t="inlineStr">
        <s:is>
          <s:t>生康足球队 · 球员数据汇总</s:t>
        </s:is>
      </s:c>
    </s:row>
    <s:row r="3">
      <s:c r="A3" s="8" t="inlineStr">
        <s:is>
          <s:t>数据范围</s:t>
        </s:is>
      </s:c>
      <s:c r="B3" s="2" t="inlineStr">
        <s:is>
          <s:t>网站当前球员档案</s:t>
        </s:is>
      </s:c>
      <s:c r="C3" s="2" t="n"/>
      <s:c r="D3" s="8" t="inlineStr">
        <s:is>
          <s:t>说明</s:t>
        </s:is>
      </s:c>
    </s:row>
    <s:row r="4" ht="15" customHeight="1">
      <s:c r="A4" s="9" t="inlineStr">
        <s:is>
          <s:t>球员人数</s:t>
        </s:is>
      </s:c>
      <s:c r="B4" s="10">
        <s:f>COUNTA(球员数据!B2:B18)</s:f>
        <s:v>17</s:v>
      </s:c>
      <s:c r="C4" s="3" t="n"/>
      <s:c r="D4" s="3" t="inlineStr">
        <s:is>
          <s:t>数据来源：网站 js/team-data.js</s:t>
        </s:is>
      </s:c>
    </s:row>
    <s:row r="5" ht="15" customHeight="1">
      <s:c r="A5" s="8" t="inlineStr">
        <s:is>
          <s:t>总出场</s:t>
        </s:is>
      </s:c>
      <s:c r="B5" s="11">
        <s:f>SUM(球员数据!G2:G18)</s:f>
        <s:v>110</s:v>
      </s:c>
      <s:c r="C5" s="2" t="n"/>
      <s:c r="D5" s="2" t="inlineStr">
        <s:is>
          <s:t>评分为网站现有记录，不做额外计算。</s:t>
        </s:is>
      </s:c>
    </s:row>
    <s:row r="6" ht="15" customHeight="1">
      <s:c r="A6" s="9" t="inlineStr">
        <s:is>
          <s:t>总进球</s:t>
        </s:is>
      </s:c>
      <s:c r="B6" s="10">
        <s:f>SUM(球员数据!H2:H18)</s:f>
        <s:v>13</s:v>
      </s:c>
      <s:c r="C6" s="3" t="n"/>
      <s:c r="D6" s="3" t="inlineStr">
        <s:is>
          <s:t>扑救与零封字段保留，当前未统计时为 0。</s:t>
        </s:is>
      </s:c>
    </s:row>
    <s:row r="7" ht="15" customHeight="1">
      <s:c r="A7" s="8" t="inlineStr">
        <s:is>
          <s:t>总助攻</s:t>
        </s:is>
      </s:c>
      <s:c r="B7" s="11">
        <s:f>SUM(球员数据!I2:I18)</s:f>
        <s:v>9</s:v>
      </s:c>
      <s:c r="C7" s="2" t="n"/>
      <s:c r="D7" s="2" t="inlineStr">
        <s:is>
          <s:t>后续只需更新“球员数据”工作表或网站源数据。</s:t>
        </s:is>
      </s:c>
    </s:row>
    <s:row r="8" ht="15" customHeight="1">
      <s:c r="A8" s="9" t="inlineStr">
        <s:is>
          <s:t>总 MVP</s:t>
        </s:is>
      </s:c>
      <s:c r="B8" s="10">
        <s:f>SUM(球员数据!J2:J18)</s:f>
        <s:v>0</s:v>
      </s:c>
      <s:c r="C8" s="3" t="n"/>
      <s:c r="D8" s="3" t="n"/>
    </s:row>
  </s:sheetData>
  <s:mergeCells count="1">
    <s:mergeCell ref="A1:D1"/>
  </s:mergeCells>
  <s:pageMargins left="0.75" right="0.75" top="1" bottom="1" header="0.5" footer="0.5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O18"/>
  <s:sheetViews>
    <s:sheetView showGridLines="0" tabSelected="1" workbookViewId="0">
      <s:pane ySplit="1" topLeftCell="A2" activePane="bottomLeft" state="frozen"/>
      <s:selection pane="bottomLeft" activeCell="A1" sqref="A1"/>
      <s:selection pane="bottomLeft" activeCell="Q7" sqref="Q7"/>
    </s:sheetView>
  </s:sheetViews>
  <s:sheetFormatPr baseColWidth="8" defaultColWidth="9" defaultRowHeight="13.5"/>
  <s:cols>
    <s:col width="8" customWidth="1" min="1" max="1"/>
    <s:col width="12" customWidth="1" min="2" max="2"/>
    <s:col width="16" customWidth="1" min="3" max="3"/>
    <s:col width="8" customWidth="1" min="4" max="4"/>
    <s:col width="10" customWidth="1" min="5" max="5"/>
    <s:col width="17" customWidth="1" min="6" max="6"/>
    <s:col width="9" customWidth="1" min="7" max="11"/>
    <s:col width="9" customWidth="1" min="8" max="8"/>
    <s:col width="9" customWidth="1" min="9" max="9"/>
    <s:col width="9" customWidth="1" min="10" max="10"/>
    <s:col width="9" customWidth="1" min="11" max="11"/>
    <s:col width="11" customWidth="1" min="12" max="12"/>
    <s:col width="12" customWidth="1" min="13" max="13"/>
    <s:col width="20" customWidth="1" min="14" max="14"/>
    <s:col width="28" customWidth="1" min="15" max="15"/>
  </s:cols>
  <s:sheetData>
    <s:row r="1" ht="26" customHeight="1">
      <s:c r="A1" s="12" t="inlineStr">
        <s:is>
          <s:t>序号</s:t>
        </s:is>
      </s:c>
      <s:c r="B1" s="12" t="inlineStr">
        <s:is>
          <s:t>姓名</s:t>
        </s:is>
      </s:c>
      <s:c r="C1" s="12" t="inlineStr">
        <s:is>
          <s:t>绰号</s:t>
        </s:is>
      </s:c>
      <s:c r="D1" s="12" t="inlineStr">
        <s:is>
          <s:t>号码</s:t>
        </s:is>
      </s:c>
      <s:c r="E1" s="12" t="inlineStr">
        <s:is>
          <s:t>主位置</s:t>
        </s:is>
      </s:c>
      <s:c r="F1" s="12" t="inlineStr">
        <s:is>
          <s:t>可胜任位置</s:t>
        </s:is>
      </s:c>
      <s:c r="G1" s="12" t="inlineStr">
        <s:is>
          <s:t>出场</s:t>
        </s:is>
      </s:c>
      <s:c r="H1" s="12" t="inlineStr">
        <s:is>
          <s:t>进球</s:t>
        </s:is>
      </s:c>
      <s:c r="I1" s="12" t="inlineStr">
        <s:is>
          <s:t>助攻</s:t>
        </s:is>
      </s:c>
      <s:c r="J1" s="12" t="inlineStr">
        <s:is>
          <s:t>MVP</s:t>
        </s:is>
      </s:c>
      <s:c r="K1" s="12" t="inlineStr">
        <s:is>
          <s:t>零封</s:t>
        </s:is>
      </s:c>
      <s:c r="L1" s="13" t="inlineStr">
        <s:is>
          <s:t>低失球场</s:t>
        </s:is>
      </s:c>
      <s:c r="M1" s="12" t="inlineStr">
        <s:is>
          <s:t>评分</s:t>
        </s:is>
      </s:c>
      <s:c r="N1" s="12" t="inlineStr">
        <s:is>
          <s:t>踢球风格</s:t>
        </s:is>
      </s:c>
      <s:c r="O1" s="12" t="inlineStr">
        <s:is>
          <s:t>代表数据</s:t>
        </s:is>
      </s:c>
    </s:row>
    <s:row r="2" ht="23" customHeight="1">
      <s:c r="A2" s="14" t="n">
        <s:v>1</s:v>
      </s:c>
      <s:c r="B2" s="14" t="inlineStr">
        <s:is>
          <s:t>吴宇成</s:t>
        </s:is>
      </s:c>
      <s:c r="C2" s="14" t="inlineStr">
        <s:is>
          <s:t>铁血后卫</s:t>
        </s:is>
      </s:c>
      <s:c r="D2" s="14" t="n">
        <s:v>6</s:v>
      </s:c>
      <s:c r="E2" s="14" t="inlineStr">
        <s:is>
          <s:t>DF</s:t>
        </s:is>
      </s:c>
      <s:c r="F2" s="14" t="inlineStr">
        <s:is>
          <s:t>CB/CM/GK</s:t>
        </s:is>
      </s:c>
      <s:c r="G2" s="14" t="n">
        <s:v>11</s:v>
      </s:c>
      <s:c r="H2" s="14" t="n">
        <s:v>0</s:v>
      </s:c>
      <s:c r="I2" s="14" t="n">
        <s:v>1</s:v>
      </s:c>
      <s:c r="J2" s="14" t="n">
        <s:v>0</s:v>
      </s:c>
      <s:c r="K2" s="14" t="n">
        <s:v>0</s:v>
      </s:c>
      <s:c r="L2" s="14" t="n">
        <s:v>0</s:v>
      </s:c>
      <s:c r="M2" s="15">
        <s:f>ROUND(MIN(9.5,MAX(6,6+G2*0.08+H2*0.35+I2*0.25+J2*0.25+K2*0.15+IF(E2="DF",G2*0.06+K2*0.35+L2*0.15,0))),1)</s:f>
        <s:v>7.8</s:v>
      </s:c>
      <s:c r="N2" s="14" t="inlineStr">
        <s:is>
          <s:t>后场组织者/进攻型门将</s:t>
        </s:is>
      </s:c>
      <s:c r="O2" s="14" t="str">
        <s:f>IF(H2&gt;0,IF(I2&gt;0,"贡献 "&amp;H2&amp;" 粒进球 / 送出 "&amp;I2&amp;" 次助攻","贡献 "&amp;H2&amp;" 粒进球"),IF(I2&gt;0,"送出 "&amp;I2&amp;" 次助攻","累计出场 "&amp;G2&amp;" 场"))</s:f>
        <s:v>送出 1 次助攻</s:v>
      </s:c>
    </s:row>
    <s:row r="3" ht="23" customHeight="1">
      <s:c r="A3" s="16" t="n">
        <s:v>2</s:v>
      </s:c>
      <s:c r="B3" s="16" t="inlineStr">
        <s:is>
          <s:t>代育锐</s:t>
        </s:is>
      </s:c>
      <s:c r="C3" s="16" t="inlineStr">
        <s:is>
          <s:t>球王</s:t>
        </s:is>
      </s:c>
      <s:c r="D3" s="16" t="n">
        <s:v>10</s:v>
      </s:c>
      <s:c r="E3" s="16" t="inlineStr">
        <s:is>
          <s:t>DF</s:t>
        </s:is>
      </s:c>
      <s:c r="F3" s="16" t="inlineStr">
        <s:is>
          <s:t>CB/LB</s:t>
        </s:is>
      </s:c>
      <s:c r="G3" s="16" t="n">
        <s:v>4</s:v>
      </s:c>
      <s:c r="H3" s="16" t="n">
        <s:v>0</s:v>
      </s:c>
      <s:c r="I3" s="16" t="n">
        <s:v>0</s:v>
      </s:c>
      <s:c r="J3" s="16" t="n">
        <s:v>0</s:v>
      </s:c>
      <s:c r="K3" s="16" t="n">
        <s:v>0</s:v>
      </s:c>
      <s:c r="L3" s="16" t="n">
        <s:v>0</s:v>
      </s:c>
      <s:c r="M3" s="17">
        <s:f>ROUND(MIN(9.5,MAX(6,6+G3*0.08+H3*0.35+I3*0.25+J3*0.25+K3*0.15+IF(E3="DF",G3*0.06+K3*0.35+L3*0.15,0))),1)</s:f>
        <s:v>6.6</s:v>
      </s:c>
      <s:c r="N3" s="16" t="inlineStr">
        <s:is>
          <s:t>组织型中后卫</s:t>
        </s:is>
      </s:c>
      <s:c r="O3" s="16" t="str">
        <s:f>IF(H3&gt;0,IF(I3&gt;0,"贡献 "&amp;H3&amp;" 粒进球 / 送出 "&amp;I3&amp;" 次助攻","贡献 "&amp;H3&amp;" 粒进球"),IF(I3&gt;0,"送出 "&amp;I3&amp;" 次助攻","累计出场 "&amp;G3&amp;" 场"))</s:f>
        <s:v>累计出场 4 场</s:v>
      </s:c>
    </s:row>
    <s:row r="4" ht="23" customHeight="1">
      <s:c r="A4" s="14" t="n">
        <s:v>3</s:v>
      </s:c>
      <s:c r="B4" s="14" t="inlineStr">
        <s:is>
          <s:t>王伯函</s:t>
        </s:is>
      </s:c>
      <s:c r="C4" s="14" t="inlineStr">
        <s:is>
          <s:t>防守大闸</s:t>
        </s:is>
      </s:c>
      <s:c r="D4" s="14" t="n">
        <s:v>29</s:v>
      </s:c>
      <s:c r="E4" s="14" t="inlineStr">
        <s:is>
          <s:t>DF</s:t>
        </s:is>
      </s:c>
      <s:c r="F4" s="14" t="inlineStr">
        <s:is>
          <s:t>LB/CB</s:t>
        </s:is>
      </s:c>
      <s:c r="G4" s="14" t="n">
        <s:v>9</s:v>
      </s:c>
      <s:c r="H4" s="14" t="n">
        <s:v>0</s:v>
      </s:c>
      <s:c r="I4" s="14" t="n">
        <s:v>0</s:v>
      </s:c>
      <s:c r="J4" s="14" t="n">
        <s:v>0</s:v>
      </s:c>
      <s:c r="K4" s="14" t="n">
        <s:v>0</s:v>
      </s:c>
      <s:c r="L4" s="14" t="n">
        <s:v>0</s:v>
      </s:c>
      <s:c r="M4" s="15">
        <s:f>ROUND(MIN(9.5,MAX(6,6+G4*0.08+H4*0.35+I4*0.25+J4*0.25+K4*0.15+IF(E4="DF",G4*0.06+K4*0.35+L4*0.15,0))),1)</s:f>
        <s:v>7.3</s:v>
      </s:c>
      <s:c r="N4" s="14" t="inlineStr">
        <s:is>
          <s:t>防守型边后卫</s:t>
        </s:is>
      </s:c>
      <s:c r="O4" s="14" t="str">
        <s:f>IF(H4&gt;0,IF(I4&gt;0,"贡献 "&amp;H4&amp;" 粒进球 / 送出 "&amp;I4&amp;" 次助攻","贡献 "&amp;H4&amp;" 粒进球"),IF(I4&gt;0,"送出 "&amp;I4&amp;" 次助攻","累计出场 "&amp;G4&amp;" 场"))</s:f>
        <s:v>累计出场 9 场</s:v>
      </s:c>
    </s:row>
    <s:row r="5" ht="23" customHeight="1">
      <s:c r="A5" s="16" t="n">
        <s:v>4</s:v>
      </s:c>
      <s:c r="B5" s="16" t="inlineStr">
        <s:is>
          <s:t>刘航宇</s:t>
        </s:is>
      </s:c>
      <s:c r="C5" s="16" t="inlineStr">
        <s:is>
          <s:t>门神</s:t>
        </s:is>
      </s:c>
      <s:c r="D5" s="16" t="n">
        <s:v>0</s:v>
      </s:c>
      <s:c r="E5" s="16" t="inlineStr">
        <s:is>
          <s:t>GK</s:t>
        </s:is>
      </s:c>
      <s:c r="F5" s="16" t="inlineStr">
        <s:is>
          <s:t>GK</s:t>
        </s:is>
      </s:c>
      <s:c r="G5" s="16" t="n">
        <s:v>8</s:v>
      </s:c>
      <s:c r="H5" s="16" t="n">
        <s:v>0</s:v>
      </s:c>
      <s:c r="I5" s="16" t="n">
        <s:v>0</s:v>
      </s:c>
      <s:c r="J5" s="16" t="n">
        <s:v>0</s:v>
      </s:c>
      <s:c r="K5" s="16" t="n">
        <s:v>1</s:v>
      </s:c>
      <s:c r="L5" s="16" t="n">
        <s:v>0</s:v>
      </s:c>
      <s:c r="M5" s="17">
        <s:f>ROUND(MIN(9.5,MAX(6,6+G5*0.08+H5*0.35+I5*0.25+J5*0.25+K5*0.15+IF(E5="DF",G5*0.06+K5*0.35+L5*0.15,0))),1)</s:f>
        <s:v>6.8</s:v>
      </s:c>
      <s:c r="N5" s="16" t="inlineStr">
        <s:is>
          <s:t>防守型门将</s:t>
        </s:is>
      </s:c>
      <s:c r="O5" s="16" t="str">
        <s:f>IF(H5&gt;0,IF(I5&gt;0,"贡献 "&amp;H5&amp;" 粒进球 / 送出 "&amp;I5&amp;" 次助攻","贡献 "&amp;H5&amp;" 粒进球"),IF(I5&gt;0,"送出 "&amp;I5&amp;" 次助攻","累计出场 "&amp;G5&amp;" 场"))</s:f>
        <s:v>累计出场 8 场</s:v>
      </s:c>
    </s:row>
    <s:row r="6" ht="23" customHeight="1">
      <s:c r="A6" s="14" t="n">
        <s:v>5</s:v>
      </s:c>
      <s:c r="B6" s="14" t="inlineStr">
        <s:is>
          <s:t>曹维嘉</s:t>
        </s:is>
      </s:c>
      <s:c r="C6" s="14" t="inlineStr">
        <s:is>
          <s:t>能跑</s:t>
        </s:is>
      </s:c>
      <s:c r="D6" s="14" t="n">
        <s:v>23</s:v>
      </s:c>
      <s:c r="E6" s="14" t="inlineStr">
        <s:is>
          <s:t>FW</s:t>
        </s:is>
      </s:c>
      <s:c r="F6" s="14" t="inlineStr">
        <s:is>
          <s:t>RB/RWF</s:t>
        </s:is>
      </s:c>
      <s:c r="G6" s="14" t="n">
        <s:v>8</s:v>
      </s:c>
      <s:c r="H6" s="14" t="n">
        <s:v>0</s:v>
      </s:c>
      <s:c r="I6" s="14" t="n">
        <s:v>0</s:v>
      </s:c>
      <s:c r="J6" s="14" t="n">
        <s:v>0</s:v>
      </s:c>
      <s:c r="K6" s="14" t="n">
        <s:v>0</s:v>
      </s:c>
      <s:c r="L6" s="14" t="n">
        <s:v>0</s:v>
      </s:c>
      <s:c r="M6" s="15">
        <s:f>ROUND(MIN(9.5,MAX(6,6+G6*0.08+H6*0.35+I6*0.25+J6*0.25+K6*0.15+IF(E6="DF",G6*0.06+K6*0.35+L6*0.15,0))),1)</s:f>
        <s:v>6.6</s:v>
      </s:c>
      <s:c r="N6" s="14" t="inlineStr">
        <s:is>
          <s:t>防守型边锋</s:t>
        </s:is>
      </s:c>
      <s:c r="O6" s="14" t="str">
        <s:f>IF(H6&gt;0,IF(I6&gt;0,"贡献 "&amp;H6&amp;" 粒进球 / 送出 "&amp;I6&amp;" 次助攻","贡献 "&amp;H6&amp;" 粒进球"),IF(I6&gt;0,"送出 "&amp;I6&amp;" 次助攻","累计出场 "&amp;G6&amp;" 场"))</s:f>
        <s:v>累计出场 8 场</s:v>
      </s:c>
    </s:row>
    <s:row r="7" ht="23" customHeight="1">
      <s:c r="A7" s="16" t="n">
        <s:v>6</s:v>
      </s:c>
      <s:c r="B7" s="16" t="inlineStr">
        <s:is>
          <s:t>尚锐杰</s:t>
        </s:is>
      </s:c>
      <s:c r="C7" s="16" t="inlineStr">
        <s:is>
          <s:t>曾效力队员</s:t>
        </s:is>
      </s:c>
      <s:c r="D7" s="16" t="n">
        <s:v>9</s:v>
      </s:c>
      <s:c r="E7" s="16" t="inlineStr">
        <s:is>
          <s:t>DF</s:t>
        </s:is>
      </s:c>
      <s:c r="F7" s="16" t="inlineStr">
        <s:is>
          <s:t>RB</s:t>
        </s:is>
      </s:c>
      <s:c r="G7" s="16" t="n">
        <s:v>0</s:v>
      </s:c>
      <s:c r="H7" s="16" t="n">
        <s:v>0</s:v>
      </s:c>
      <s:c r="I7" s="16" t="n">
        <s:v>0</s:v>
      </s:c>
      <s:c r="J7" s="16" t="n">
        <s:v>0</s:v>
      </s:c>
      <s:c r="K7" s="16" t="n">
        <s:v>0</s:v>
      </s:c>
      <s:c r="L7" s="16" t="n">
        <s:v>0</s:v>
      </s:c>
      <s:c r="M7" s="17">
        <s:f>ROUND(MIN(9.5,MAX(6,6+G7*0.08+H7*0.35+I7*0.25+J7*0.25+K7*0.15+IF(E7="DF",G7*0.06+K7*0.35+L7*0.15,0))),1)</s:f>
        <s:v>6.0</s:v>
      </s:c>
      <s:c r="N7" s="16" t="inlineStr">
        <s:is>
          <s:t>边后卫</s:t>
        </s:is>
      </s:c>
      <s:c r="O7" s="16" t="str">
        <s:f>IF(H7&gt;0,IF(I7&gt;0,"贡献 "&amp;H7&amp;" 粒进球 / 送出 "&amp;I7&amp;" 次助攻","贡献 "&amp;H7&amp;" 粒进球"),IF(I7&gt;0,"送出 "&amp;I7&amp;" 次助攻","累计出场 "&amp;G7&amp;" 场"))</s:f>
        <s:v>累计出场 0 场</s:v>
      </s:c>
    </s:row>
    <s:row r="8" ht="23" customHeight="1">
      <s:c r="A8" s="14" t="n">
        <s:v>7</s:v>
      </s:c>
      <s:c r="B8" s="14" t="inlineStr">
        <s:is>
          <s:t>吴宇泽</s:t>
        </s:is>
      </s:c>
      <s:c r="C8" s="14" t="inlineStr">
        <s:is>
          <s:t>53</s:t>
        </s:is>
      </s:c>
      <s:c r="D8" s="14" t="n">
        <s:v>15</s:v>
      </s:c>
      <s:c r="E8" s="14" t="inlineStr">
        <s:is>
          <s:t>FW</s:t>
        </s:is>
      </s:c>
      <s:c r="F8" s="14" t="inlineStr">
        <s:is>
          <s:t>LWF/CF</s:t>
        </s:is>
      </s:c>
      <s:c r="G8" s="14" t="n">
        <s:v>11</s:v>
      </s:c>
      <s:c r="H8" s="14" t="n">
        <s:v>6</s:v>
      </s:c>
      <s:c r="I8" s="14" t="n">
        <s:v>1</s:v>
      </s:c>
      <s:c r="J8" s="14" t="n">
        <s:v>0</s:v>
      </s:c>
      <s:c r="K8" s="14" t="n">
        <s:v>0</s:v>
      </s:c>
      <s:c r="L8" s="14" t="n">
        <s:v>0</s:v>
      </s:c>
      <s:c r="M8" s="15">
        <s:f>ROUND(MIN(9.5,MAX(6,6+G8*0.08+H8*0.35+I8*0.25+J8*0.25+K8*0.15+IF(E8="DF",G8*0.06+K8*0.35+L8*0.15,0))),1)</s:f>
        <s:v>9.2</s:v>
      </s:c>
      <s:c r="N8" s="14" t="inlineStr">
        <s:is>
          <s:t>抢点型前锋</s:t>
        </s:is>
      </s:c>
      <s:c r="O8" s="14" t="str">
        <s:f>IF(H8&gt;0,IF(I8&gt;0,"贡献 "&amp;H8&amp;" 粒进球 / 送出 "&amp;I8&amp;" 次助攻","贡献 "&amp;H8&amp;" 粒进球"),IF(I8&gt;0,"送出 "&amp;I8&amp;" 次助攻","累计出场 "&amp;G8&amp;" 场"))</s:f>
        <s:v>贡献 6 粒进球 / 送出 1 次助攻</s:v>
      </s:c>
    </s:row>
    <s:row r="9" ht="23" customHeight="1">
      <s:c r="A9" s="16" t="n">
        <s:v>8</s:v>
      </s:c>
      <s:c r="B9" s="16" t="inlineStr">
        <s:is>
          <s:t>彭卓伦</s:t>
        </s:is>
      </s:c>
      <s:c r="C9" s="16" t="inlineStr">
        <s:is>
          <s:t>发牌</s:t>
        </s:is>
      </s:c>
      <s:c r="D9" s="16" t="n">
        <s:v>8</s:v>
      </s:c>
      <s:c r="E9" s="16" t="inlineStr">
        <s:is>
          <s:t>MF</s:t>
        </s:is>
      </s:c>
      <s:c r="F9" s="16" t="inlineStr">
        <s:is>
          <s:t>AM/LWF</s:t>
        </s:is>
      </s:c>
      <s:c r="G9" s="16" t="n">
        <s:v>8</s:v>
      </s:c>
      <s:c r="H9" s="16" t="n">
        <s:v>2</s:v>
      </s:c>
      <s:c r="I9" s="16" t="n">
        <s:v>3</s:v>
      </s:c>
      <s:c r="J9" s="16" t="n">
        <s:v>0</s:v>
      </s:c>
      <s:c r="K9" s="16" t="n">
        <s:v>0</s:v>
      </s:c>
      <s:c r="L9" s="16" t="n">
        <s:v>0</s:v>
      </s:c>
      <s:c r="M9" s="17">
        <s:f>ROUND(MIN(9.5,MAX(6,6+G9*0.08+H9*0.35+I9*0.25+J9*0.25+K9*0.15+IF(E9="DF",G9*0.06+K9*0.35+L9*0.15,0))),1)</s:f>
        <s:v>8.1</s:v>
      </s:c>
      <s:c r="N9" s="16" t="inlineStr">
        <s:is>
          <s:t>组织型前锋</s:t>
        </s:is>
      </s:c>
      <s:c r="O9" s="16" t="str">
        <s:f>IF(H9&gt;0,IF(I9&gt;0,"贡献 "&amp;H9&amp;" 粒进球 / 送出 "&amp;I9&amp;" 次助攻","贡献 "&amp;H9&amp;" 粒进球"),IF(I9&gt;0,"送出 "&amp;I9&amp;" 次助攻","累计出场 "&amp;G9&amp;" 场"))</s:f>
        <s:v>贡献 2 粒进球 / 送出 3 次助攻</s:v>
      </s:c>
    </s:row>
    <s:row r="10" ht="23" customHeight="1">
      <s:c r="A10" s="14" t="n">
        <s:v>9</s:v>
      </s:c>
      <s:c r="B10" s="14" t="inlineStr">
        <s:is>
          <s:t>周霄旭</s:t>
        </s:is>
      </s:c>
      <s:c r="C10" s="14" t="inlineStr">
        <s:is>
          <s:t>生康未来</s:t>
        </s:is>
      </s:c>
      <s:c r="D10" s="14" t="n">
        <s:v>5</s:v>
      </s:c>
      <s:c r="E10" s="14" t="inlineStr">
        <s:is>
          <s:t>FW</s:t>
        </s:is>
      </s:c>
      <s:c r="F10" s="14" t="inlineStr">
        <s:is>
          <s:t>CF/RWF/AM</s:t>
        </s:is>
      </s:c>
      <s:c r="G10" s="14" t="n">
        <s:v>10</s:v>
      </s:c>
      <s:c r="H10" s="14" t="n">
        <s:v>4</s:v>
      </s:c>
      <s:c r="I10" s="14" t="n">
        <s:v>3</s:v>
      </s:c>
      <s:c r="J10" s="14" t="n">
        <s:v>0</s:v>
      </s:c>
      <s:c r="K10" s="14" t="n">
        <s:v>0</s:v>
      </s:c>
      <s:c r="L10" s="14" t="n">
        <s:v>0</s:v>
      </s:c>
      <s:c r="M10" s="15">
        <s:f>ROUND(MIN(9.5,MAX(6,6+G10*0.08+H10*0.35+I10*0.25+J10*0.25+K10*0.15+IF(E10="DF",G10*0.06+K10*0.35+L10*0.15,0))),1)</s:f>
        <s:v>9.0</s:v>
      </s:c>
      <s:c r="N10" s="14" t="inlineStr">
        <s:is>
          <s:t>全能前锋</s:t>
        </s:is>
      </s:c>
      <s:c r="O10" s="14" t="str">
        <s:f>IF(H10&gt;0,IF(I10&gt;0,"贡献 "&amp;H10&amp;" 粒进球 / 送出 "&amp;I10&amp;" 次助攻","贡献 "&amp;H10&amp;" 粒进球"),IF(I10&gt;0,"送出 "&amp;I10&amp;" 次助攻","累计出场 "&amp;G10&amp;" 场"))</s:f>
        <s:v>贡献 4 粒进球 / 送出 3 次助攻</s:v>
      </s:c>
    </s:row>
    <s:row r="11" ht="23" customHeight="1">
      <s:c r="A11" s="16" t="n">
        <s:v>10</s:v>
      </s:c>
      <s:c r="B11" s="16" t="inlineStr">
        <s:is>
          <s:t>张俊</s:t>
        </s:is>
      </s:c>
      <s:c r="C11" s="16" t="inlineStr">
        <s:is>
          <s:t>全能王</s:t>
        </s:is>
      </s:c>
      <s:c r="D11" s="16" t="n">
        <s:v>17</s:v>
      </s:c>
      <s:c r="E11" s="16" t="inlineStr">
        <s:is>
          <s:t>DF</s:t>
        </s:is>
      </s:c>
      <s:c r="F11" s="16" t="inlineStr">
        <s:is>
          <s:t>CB/CM/GK</s:t>
        </s:is>
      </s:c>
      <s:c r="G11" s="16" t="n">
        <s:v>6</s:v>
      </s:c>
      <s:c r="H11" s="16" t="n">
        <s:v>0</s:v>
      </s:c>
      <s:c r="I11" s="16" t="n">
        <s:v>0</s:v>
      </s:c>
      <s:c r="J11" s="16" t="n">
        <s:v>0</s:v>
      </s:c>
      <s:c r="K11" s="16" t="n">
        <s:v>0</s:v>
      </s:c>
      <s:c r="L11" s="16" t="n">
        <s:v>0</s:v>
      </s:c>
      <s:c r="M11" s="17">
        <s:f>ROUND(MIN(9.5,MAX(6,6+G11*0.08+H11*0.35+I11*0.25+J11*0.25+K11*0.15+IF(E11="DF",G11*0.06+K11*0.35+L11*0.15,0))),1)</s:f>
        <s:v>6.8</s:v>
      </s:c>
      <s:c r="N11" s="16" t="inlineStr">
        <s:is>
          <s:t>全能中场</s:t>
        </s:is>
      </s:c>
      <s:c r="O11" s="16" t="str">
        <s:f>IF(H11&gt;0,IF(I11&gt;0,"贡献 "&amp;H11&amp;" 粒进球 / 送出 "&amp;I11&amp;" 次助攻","贡献 "&amp;H11&amp;" 粒进球"),IF(I11&gt;0,"送出 "&amp;I11&amp;" 次助攻","累计出场 "&amp;G11&amp;" 场"))</s:f>
        <s:v>累计出场 6 场</s:v>
      </s:c>
    </s:row>
    <s:row r="12" ht="23" customHeight="1">
      <s:c r="A12" s="14" t="n">
        <s:v>11</s:v>
      </s:c>
      <s:c r="B12" s="14" t="inlineStr">
        <s:is>
          <s:t>岑烨</s:t>
        </s:is>
      </s:c>
      <s:c r="C12" s="14" t="inlineStr">
        <s:is>
          <s:t>门神</s:t>
        </s:is>
      </s:c>
      <s:c r="D12" s="14" t="n">
        <s:v>18</s:v>
      </s:c>
      <s:c r="E12" s="14" t="inlineStr">
        <s:is>
          <s:t>GK</s:t>
        </s:is>
      </s:c>
      <s:c r="F12" s="14" t="inlineStr">
        <s:is>
          <s:t>GK/CB</s:t>
        </s:is>
      </s:c>
      <s:c r="G12" s="14" t="n">
        <s:v>5</s:v>
      </s:c>
      <s:c r="H12" s="14" t="n">
        <s:v>0</s:v>
      </s:c>
      <s:c r="I12" s="14" t="n">
        <s:v>0</s:v>
      </s:c>
      <s:c r="J12" s="14" t="n">
        <s:v>0</s:v>
      </s:c>
      <s:c r="K12" s="14" t="n">
        <s:v>1</s:v>
      </s:c>
      <s:c r="L12" s="14" t="n">
        <s:v>0</s:v>
      </s:c>
      <s:c r="M12" s="15">
        <s:f>ROUND(MIN(9.5,MAX(6,6+G12*0.08+H12*0.35+I12*0.25+J12*0.25+K12*0.15+IF(E12="DF",G12*0.06+K12*0.35+L12*0.15,0))),1)</s:f>
        <s:v>6.6</s:v>
      </s:c>
      <s:c r="N12" s="14" t="inlineStr">
        <s:is>
          <s:t>防守型门将</s:t>
        </s:is>
      </s:c>
      <s:c r="O12" s="14" t="str">
        <s:f>IF(H12&gt;0,IF(I12&gt;0,"贡献 "&amp;H12&amp;" 粒进球 / 送出 "&amp;I12&amp;" 次助攻","贡献 "&amp;H12&amp;" 粒进球"),IF(I12&gt;0,"送出 "&amp;I12&amp;" 次助攻","累计出场 "&amp;G12&amp;" 场"))</s:f>
        <s:v>累计出场 5 场</s:v>
      </s:c>
    </s:row>
    <s:row r="13" ht="23" customHeight="1">
      <s:c r="A13" s="16" t="n">
        <s:v>12</s:v>
      </s:c>
      <s:c r="B13" s="16" t="inlineStr">
        <s:is>
          <s:t>李傲</s:t>
        </s:is>
      </s:c>
      <s:c r="C13" s="16" t="inlineStr">
        <s:is>
          <s:t>铁血</s:t>
        </s:is>
      </s:c>
      <s:c r="D13" s="16" t="n">
        <s:v>19</s:v>
      </s:c>
      <s:c r="E13" s="16" t="inlineStr">
        <s:is>
          <s:t>DF</s:t>
        </s:is>
      </s:c>
      <s:c r="F13" s="16" t="inlineStr">
        <s:is>
          <s:t>RB</s:t>
        </s:is>
      </s:c>
      <s:c r="G13" s="16" t="n">
        <s:v>8</s:v>
      </s:c>
      <s:c r="H13" s="16" t="n">
        <s:v>0</s:v>
      </s:c>
      <s:c r="I13" s="16" t="n">
        <s:v>0</s:v>
      </s:c>
      <s:c r="J13" s="16" t="n">
        <s:v>0</s:v>
      </s:c>
      <s:c r="K13" s="16" t="n">
        <s:v>0</s:v>
      </s:c>
      <s:c r="L13" s="16" t="n">
        <s:v>0</s:v>
      </s:c>
      <s:c r="M13" s="17">
        <s:f>ROUND(MIN(9.5,MAX(6,6+G13*0.08+H13*0.35+I13*0.25+J13*0.25+K13*0.15+IF(E13="DF",G13*0.06+K13*0.35+L13*0.15,0))),1)</s:f>
        <s:v>7.1</s:v>
      </s:c>
      <s:c r="N13" s="16" t="inlineStr">
        <s:is>
          <s:t>边翼卫</s:t>
        </s:is>
      </s:c>
      <s:c r="O13" s="16" t="str">
        <s:f>IF(H13&gt;0,IF(I13&gt;0,"贡献 "&amp;H13&amp;" 粒进球 / 送出 "&amp;I13&amp;" 次助攻","贡献 "&amp;H13&amp;" 粒进球"),IF(I13&gt;0,"送出 "&amp;I13&amp;" 次助攻","累计出场 "&amp;G13&amp;" 场"))</s:f>
        <s:v>累计出场 8 场</s:v>
      </s:c>
    </s:row>
    <s:row r="14" ht="23" customHeight="1">
      <s:c r="A14" s="14" t="n">
        <s:v>13</s:v>
      </s:c>
      <s:c r="B14" s="14" t="inlineStr">
        <s:is>
          <s:t>吴全银</s:t>
        </s:is>
      </s:c>
      <s:c r="C14" s="14" t="inlineStr">
        <s:is>
          <s:t>控场</s:t>
        </s:is>
      </s:c>
      <s:c r="D14" s="14" t="n">
        <s:v>25</s:v>
      </s:c>
      <s:c r="E14" s="14" t="inlineStr">
        <s:is>
          <s:t>MF</s:t>
        </s:is>
      </s:c>
      <s:c r="F14" s="14" t="inlineStr">
        <s:is>
          <s:t>DM/RB</s:t>
        </s:is>
      </s:c>
      <s:c r="G14" s="14" t="n">
        <s:v>6</s:v>
      </s:c>
      <s:c r="H14" s="14" t="n">
        <s:v>0</s:v>
      </s:c>
      <s:c r="I14" s="14" t="n">
        <s:v>0</s:v>
      </s:c>
      <s:c r="J14" s="14" t="n">
        <s:v>0</s:v>
      </s:c>
      <s:c r="K14" s="14" t="n">
        <s:v>0</s:v>
      </s:c>
      <s:c r="L14" s="14" t="n">
        <s:v>0</s:v>
      </s:c>
      <s:c r="M14" s="15">
        <s:f>ROUND(MIN(9.5,MAX(6,6+G14*0.08+H14*0.35+I14*0.25+J14*0.25+K14*0.15+IF(E14="DF",G14*0.06+K14*0.35+L14*0.15,0))),1)</s:f>
        <s:v>6.5</s:v>
      </s:c>
      <s:c r="N14" s="14" t="inlineStr">
        <s:is>
          <s:t>全能中场</s:t>
        </s:is>
      </s:c>
      <s:c r="O14" s="14" t="str">
        <s:f>IF(H14&gt;0,IF(I14&gt;0,"贡献 "&amp;H14&amp;" 粒进球 / 送出 "&amp;I14&amp;" 次助攻","贡献 "&amp;H14&amp;" 粒进球"),IF(I14&gt;0,"送出 "&amp;I14&amp;" 次助攻","累计出场 "&amp;G14&amp;" 场"))</s:f>
        <s:v>累计出场 6 场</s:v>
      </s:c>
    </s:row>
    <s:row r="15" ht="23" customHeight="1">
      <s:c r="A15" s="16" t="n">
        <s:v>14</s:v>
      </s:c>
      <s:c r="B15" s="16" t="inlineStr">
        <s:is>
          <s:t>陈亿霏</s:t>
        </s:is>
      </s:c>
      <s:c r="C15" s="16" t="inlineStr">
        <s:is>
          <s:t>寝室长</s:t>
        </s:is>
      </s:c>
      <s:c r="D15" s="16" t="n">
        <s:v>66</s:v>
      </s:c>
      <s:c r="E15" s="16" t="inlineStr">
        <s:is>
          <s:t>DF</s:t>
        </s:is>
      </s:c>
      <s:c r="F15" s="16" t="inlineStr">
        <s:is>
          <s:t>LB</s:t>
        </s:is>
      </s:c>
      <s:c r="G15" s="16" t="n">
        <s:v>3</s:v>
      </s:c>
      <s:c r="H15" s="16" t="n">
        <s:v>0</s:v>
      </s:c>
      <s:c r="I15" s="16" t="n">
        <s:v>0</s:v>
      </s:c>
      <s:c r="J15" s="16" t="n">
        <s:v>0</s:v>
      </s:c>
      <s:c r="K15" s="16" t="n">
        <s:v>0</s:v>
      </s:c>
      <s:c r="L15" s="16" t="n">
        <s:v>0</s:v>
      </s:c>
      <s:c r="M15" s="17">
        <s:f>ROUND(MIN(9.5,MAX(6,6+G15*0.08+H15*0.35+I15*0.25+J15*0.25+K15*0.15+IF(E15="DF",G15*0.06+K15*0.35+L15*0.15,0))),1)</s:f>
        <s:v>6.4</s:v>
      </s:c>
      <s:c r="N15" s="16" t="inlineStr">
        <s:is>
          <s:t>边后卫</s:t>
        </s:is>
      </s:c>
      <s:c r="O15" s="16" t="str">
        <s:f>IF(H15&gt;0,IF(I15&gt;0,"贡献 "&amp;H15&amp;" 粒进球 / 送出 "&amp;I15&amp;" 次助攻","贡献 "&amp;H15&amp;" 粒进球"),IF(I15&gt;0,"送出 "&amp;I15&amp;" 次助攻","累计出场 "&amp;G15&amp;" 场"))</s:f>
        <s:v>累计出场 3 场</s:v>
      </s:c>
    </s:row>
    <s:row r="16" ht="23" customHeight="1">
      <s:c r="A16" s="14" t="n">
        <s:v>15</s:v>
      </s:c>
      <s:c r="B16" s="14" t="inlineStr">
        <s:is>
          <s:t>何嗣承</s:t>
        </s:is>
      </s:c>
      <s:c r="C16" s="14" t="inlineStr">
        <s:is>
          <s:t>生康坎特</s:t>
        </s:is>
      </s:c>
      <s:c r="D16" s="14" t="n">
        <s:v>12</s:v>
      </s:c>
      <s:c r="E16" s="14" t="inlineStr">
        <s:is>
          <s:t>MF</s:t>
        </s:is>
      </s:c>
      <s:c r="F16" s="14" t="inlineStr">
        <s:is>
          <s:t>DM/LB</s:t>
        </s:is>
      </s:c>
      <s:c r="G16" s="14" t="n">
        <s:v>10</s:v>
      </s:c>
      <s:c r="H16" s="14" t="n">
        <s:v>1</s:v>
      </s:c>
      <s:c r="I16" s="14" t="n">
        <s:v>1</s:v>
      </s:c>
      <s:c r="J16" s="14" t="n">
        <s:v>0</s:v>
      </s:c>
      <s:c r="K16" s="14" t="n">
        <s:v>1</s:v>
      </s:c>
      <s:c r="L16" s="14" t="n">
        <s:v>0</s:v>
      </s:c>
      <s:c r="M16" s="15">
        <s:f>ROUND(MIN(9.5,MAX(6,6+G16*0.08+H16*0.35+I16*0.25+J16*0.25+K16*0.15+IF(E16="DF",G16*0.06+K16*0.35+L16*0.15,0))),1)</s:f>
        <s:v>7.6</s:v>
      </s:c>
      <s:c r="N16" s="14" t="inlineStr">
        <s:is>
          <s:t>扫荡型中场</s:t>
        </s:is>
      </s:c>
      <s:c r="O16" s="14" t="str">
        <s:f>IF(H16&gt;0,IF(I16&gt;0,"贡献 "&amp;H16&amp;" 粒进球 / 送出 "&amp;I16&amp;" 次助攻","贡献 "&amp;H16&amp;" 粒进球"),IF(I16&gt;0,"送出 "&amp;I16&amp;" 次助攻","累计出场 "&amp;G16&amp;" 场"))</s:f>
        <s:v>贡献 1 粒进球 / 送出 1 次助攻</s:v>
      </s:c>
    </s:row>
    <s:row r="17" ht="23" customHeight="1">
      <s:c r="A17" s="16" t="n">
        <s:v>16</s:v>
      </s:c>
      <s:c r="B17" s="16" t="inlineStr">
        <s:is>
          <s:t>曹志威</s:t>
        </s:is>
      </s:c>
      <s:c r="C17" s="16" t="inlineStr">
        <s:is>
          <s:t>活跃队员</s:t>
        </s:is>
      </s:c>
      <s:c r="D17" s="16" t="n">
        <s:v>66</s:v>
      </s:c>
      <s:c r="E17" s="16" t="inlineStr">
        <s:is>
          <s:t>GK</s:t>
        </s:is>
      </s:c>
      <s:c r="F17" s="16" t="inlineStr">
        <s:is>
          <s:t>GK</s:t>
        </s:is>
      </s:c>
      <s:c r="G17" s="16" t="n">
        <s:v>1</s:v>
      </s:c>
      <s:c r="H17" s="16" t="n">
        <s:v>0</s:v>
      </s:c>
      <s:c r="I17" s="16" t="n">
        <s:v>0</s:v>
      </s:c>
      <s:c r="J17" s="16" t="n">
        <s:v>0</s:v>
      </s:c>
      <s:c r="K17" s="16" t="n">
        <s:v>0</s:v>
      </s:c>
      <s:c r="L17" s="16" t="n">
        <s:v>0</s:v>
      </s:c>
      <s:c r="M17" s="17">
        <s:f>ROUND(MIN(9.5,MAX(6,6+G17*0.08+H17*0.35+I17*0.25+J17*0.25+K17*0.15+IF(E17="DF",G17*0.06+K17*0.35+L17*0.15,0))),1)</s:f>
        <s:v>6.1</s:v>
      </s:c>
      <s:c r="N17" s="16" t="inlineStr">
        <s:is>
          <s:t>门将</s:t>
        </s:is>
      </s:c>
      <s:c r="O17" s="16" t="str">
        <s:f>IF(H17&gt;0,IF(I17&gt;0,"贡献 "&amp;H17&amp;" 粒进球 / 送出 "&amp;I17&amp;" 次助攻","贡献 "&amp;H17&amp;" 粒进球"),IF(I17&gt;0,"送出 "&amp;I17&amp;" 次助攻","累计出场 "&amp;G17&amp;" 场"))</s:f>
        <s:v>累计出场 1 场</s:v>
      </s:c>
    </s:row>
    <s:row r="18" ht="23" customHeight="1">
      <s:c r="A18" s="14" t="n">
        <s:v>17</s:v>
      </s:c>
      <s:c r="B18" s="14" t="inlineStr">
        <s:is>
          <s:t>苗志梁</s:t>
        </s:is>
      </s:c>
      <s:c r="C18" s="14" t="inlineStr">
        <s:is>
          <s:t>足球文艺青年</s:t>
        </s:is>
      </s:c>
      <s:c r="D18" s="14" t="n">
        <s:v>15</s:v>
      </s:c>
      <s:c r="E18" s="14" t="inlineStr">
        <s:is>
          <s:t>DF</s:t>
        </s:is>
      </s:c>
      <s:c r="F18" s="14" t="inlineStr">
        <s:is>
          <s:t>LB/LWB</s:t>
        </s:is>
      </s:c>
      <s:c r="G18" s="14" t="n">
        <s:v>2</s:v>
      </s:c>
      <s:c r="H18" s="14" t="n">
        <s:v>0</s:v>
      </s:c>
      <s:c r="I18" s="14" t="n">
        <s:v>0</s:v>
      </s:c>
      <s:c r="J18" s="14" t="n">
        <s:v>0</s:v>
      </s:c>
      <s:c r="K18" s="14" t="n">
        <s:v>0</s:v>
      </s:c>
      <s:c r="L18" s="14" t="n">
        <s:v>0</s:v>
      </s:c>
      <s:c r="M18" s="15">
        <s:f>ROUND(MIN(9.5,MAX(6,6+G18*0.08+H18*0.35+I18*0.25+J18*0.25+K18*0.15+IF(E18="DF",G18*0.06+K18*0.35+L18*0.15,0))),1)</s:f>
        <s:v>6.3</s:v>
      </s:c>
      <s:c r="N18" s="14" t="inlineStr">
        <s:is>
          <s:t>边后卫</s:t>
        </s:is>
      </s:c>
      <s:c r="O18" s="14" t="str">
        <s:f>IF(H18&gt;0,IF(I18&gt;0,"贡献 "&amp;H18&amp;" 粒进球 / 送出 "&amp;I18&amp;" 次助攻","贡献 "&amp;H18&amp;" 粒进球"),IF(I18&gt;0,"送出 "&amp;I18&amp;" 次助攻","累计出场 "&amp;G18&amp;" 场"))</s:f>
        <s:v>累计出场 2 场</s:v>
      </s:c>
    </s:row>
  </s:sheetData>
  <s:autoFilter ref="A1:O18"/>
  <s:conditionalFormatting sqref="M2:M18">
    <s:cfRule type="colorScale" priority="1">
      <s:colorScale>
        <s:cfvo type="min"/>
        <s:cfvo type="percentile" val="50"/>
        <s:cfvo type="max"/>
        <s:color rgb="FFF1E2E2"/>
        <s:color rgb="FFFFF2C2"/>
        <s:color rgb="FFCDE8D5"/>
      </s:colorScale>
    </s:cfRule>
  </s:conditionalFormatting>
  <s:pageMargins left="0.75" right="0.75" top="1" bottom="1" header="0.5" footer="0.5"/>
  <s:tableParts count="1">
    <s:tablePart r:id="rId1"/>
  </s:tableParts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 outlineLevelRow="3"/>
  <cols>
    <col width="24" customWidth="1" min="1" max="1"/>
    <col width="10" customWidth="1" min="2" max="2"/>
    <col width="20" customWidth="1" min="3" max="4"/>
    <col width="20" customWidth="1" min="4" max="4"/>
    <col width="18" customWidth="1" min="5" max="5"/>
    <col width="58" customWidth="1" min="6" max="6"/>
  </cols>
  <sheetData>
    <row r="1" ht="26" customHeight="1">
      <c r="A1" s="13" t="inlineStr">
        <is>
          <t>赛事 ID</t>
        </is>
      </c>
      <c r="B1" s="13" t="inlineStr">
        <is>
          <t>年份</t>
        </is>
      </c>
      <c r="C1" s="13" t="inlineStr">
        <is>
          <t>赛事名称</t>
        </is>
      </c>
      <c r="D1" s="13" t="inlineStr">
        <is>
          <t>显示名称</t>
        </is>
      </c>
      <c r="E1" s="13" t="inlineStr">
        <is>
          <t>状态</t>
        </is>
      </c>
      <c r="F1" s="13" t="inlineStr">
        <is>
          <t>赛事说明</t>
        </is>
      </c>
    </row>
    <row r="2" ht="27" customHeight="1">
      <c r="A2" s="14" t="inlineStr">
        <is>
          <t>2025-eleven-fangda</t>
        </is>
      </c>
      <c r="B2" s="14" t="inlineStr">
        <is>
          <t>2025</t>
        </is>
      </c>
      <c r="C2" s="14" t="inlineStr">
        <is>
          <t>十一人制纺大杯</t>
        </is>
      </c>
      <c r="D2" s="14" t="inlineStr">
        <is>
          <t>十一人制纺大杯</t>
        </is>
      </c>
      <c r="E2" s="14" t="inlineStr">
        <is>
          <t>建队后的首个赛事</t>
        </is>
      </c>
      <c r="F2" s="14" t="inlineStr">
        <is>
          <t>从临时凑齐队员、确定位置到真正踏上十一人制赛场，正式比赛从这里开始。</t>
        </is>
      </c>
    </row>
    <row r="3" ht="27" customHeight="1">
      <c r="A3" s="16" t="inlineStr">
        <is>
          <t>2025-freshmen-cup</t>
        </is>
      </c>
      <c r="B3" s="16" t="inlineStr">
        <is>
          <t>2025</t>
        </is>
      </c>
      <c r="C3" s="16" t="inlineStr">
        <is>
          <t>八人制新生杯</t>
        </is>
      </c>
      <c r="D3" s="16" t="inlineStr">
        <is>
          <t>八人制新生杯</t>
        </is>
      </c>
      <c r="E3" s="16" t="inlineStr">
        <is>
          <t>首届新生杯</t>
        </is>
      </c>
      <c r="F3" s="16" t="inlineStr">
        <is>
          <t>紧密赛程里，球队最终获得第七名。这是第一届新生杯，也是很高的起点。</t>
        </is>
      </c>
    </row>
    <row r="4">
      <c r="A4" s="14" t="inlineStr">
        <is>
          <t>2026-eight-fangda</t>
        </is>
      </c>
      <c r="B4" s="14" t="inlineStr">
        <is>
          <t>2026</t>
        </is>
      </c>
      <c r="C4" s="14" t="inlineStr">
        <is>
          <t>八人制纺大杯</t>
        </is>
      </c>
      <c r="D4" s="14" t="inlineStr">
        <is>
          <t>八人制纺大杯</t>
        </is>
      </c>
      <c r="E4" s="14" t="inlineStr">
        <is>
          <t>最新赛事</t>
        </is>
      </c>
      <c r="F4" s="14" t="inlineStr">
        <is>
          <t>下学期唯一一项学院足球赛事。这里保留这段比赛记录。</t>
        </is>
      </c>
    </row>
  </sheetData>
  <autoFilter ref="A1:F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4" customWidth="1" min="1" max="1"/>
    <col width="20" customWidth="1" min="2" max="2"/>
    <col width="14" customWidth="1" min="3" max="3"/>
    <col width="16" customWidth="1" min="4" max="4"/>
    <col width="12" customWidth="1" min="5" max="5"/>
    <col width="10" customWidth="1" min="6" max="6"/>
    <col width="22" customWidth="1" min="7" max="7"/>
    <col width="28" customWidth="1" min="8" max="8"/>
    <col width="44" customWidth="1" min="9" max="9"/>
  </cols>
  <sheetData>
    <row r="1" ht="26" customHeight="1">
      <c r="A1" s="13" t="inlineStr">
        <is>
          <t>赛季</t>
        </is>
      </c>
      <c r="B1" s="13" t="inlineStr">
        <is>
          <t>赛事名称</t>
        </is>
      </c>
      <c r="C1" s="13" t="inlineStr">
        <is>
          <t>日期</t>
        </is>
      </c>
      <c r="D1" s="13" t="inlineStr">
        <is>
          <t>对手</t>
        </is>
      </c>
      <c r="E1" s="13" t="inlineStr">
        <is>
          <t>比分</t>
        </is>
      </c>
      <c r="F1" s="13" t="inlineStr">
        <is>
          <t>赛果</t>
        </is>
      </c>
      <c r="G1" s="13" t="inlineStr">
        <is>
          <t>场地</t>
        </is>
      </c>
      <c r="H1" s="13" t="inlineStr">
        <is>
          <t>进球者</t>
        </is>
      </c>
      <c r="I1" s="13" t="inlineStr">
        <is>
          <t>赛事备注</t>
        </is>
      </c>
    </row>
    <row r="2">
      <c r="A2" s="14" t="inlineStr">
        <is>
          <t>2025-2026</t>
        </is>
      </c>
      <c r="B2" s="14" t="inlineStr">
        <is>
          <t>八人制纺大杯</t>
        </is>
      </c>
      <c r="C2" s="14" t="inlineStr">
        <is>
          <t>2026-04-16</t>
        </is>
      </c>
      <c r="D2" s="14" t="inlineStr">
        <is>
          <t>材料学院</t>
        </is>
      </c>
      <c r="E2" s="14" t="inlineStr">
        <is>
          <t>0 : 3</t>
        </is>
      </c>
      <c r="F2" s="14" t="inlineStr">
        <is>
          <t>loss</t>
        </is>
      </c>
      <c r="G2" s="14" t="inlineStr">
        <is>
          <t>阳光校区足球场</t>
        </is>
      </c>
      <c r="H2" s="14" t="inlineStr">
        <is>
          <t>暂无进球记录</t>
        </is>
      </c>
      <c r="I2" s="14" t="inlineStr">
        <is>
          <t>八人制纺大杯对阵材料学院。</t>
        </is>
      </c>
    </row>
    <row r="3">
      <c r="A3" s="16" t="inlineStr">
        <is>
          <t>2025-2026</t>
        </is>
      </c>
      <c r="B3" s="16" t="inlineStr">
        <is>
          <t>八人制纺大杯</t>
        </is>
      </c>
      <c r="C3" s="16" t="inlineStr">
        <is>
          <t>2026-04-08</t>
        </is>
      </c>
      <c r="D3" s="16" t="inlineStr">
        <is>
          <t>机智学院</t>
        </is>
      </c>
      <c r="E3" s="16" t="inlineStr">
        <is>
          <t>2 : 6</t>
        </is>
      </c>
      <c r="F3" s="16" t="inlineStr">
        <is>
          <t>loss</t>
        </is>
      </c>
      <c r="G3" s="16" t="inlineStr">
        <is>
          <t>阳光校区足球场</t>
        </is>
      </c>
      <c r="H3" s="16" t="inlineStr">
        <is>
          <t>周霄旭 20′ / 周霄旭 40′</t>
        </is>
      </c>
      <c r="I3" s="16" t="inlineStr">
        <is>
          <t>周霄旭打入两球。</t>
        </is>
      </c>
    </row>
    <row r="4">
      <c r="A4" s="14" t="inlineStr">
        <is>
          <t>2025-2026</t>
        </is>
      </c>
      <c r="B4" s="14" t="inlineStr">
        <is>
          <t>八人制纺大杯</t>
        </is>
      </c>
      <c r="C4" s="14" t="inlineStr">
        <is>
          <t>2026-03-30</t>
        </is>
      </c>
      <c r="D4" s="14" t="inlineStr">
        <is>
          <t>管理学院</t>
        </is>
      </c>
      <c r="E4" s="14" t="inlineStr">
        <is>
          <t>2 : 3</t>
        </is>
      </c>
      <c r="F4" s="14" t="inlineStr">
        <is>
          <t>loss</t>
        </is>
      </c>
      <c r="G4" s="14" t="inlineStr">
        <is>
          <t>阳光校区足球场</t>
        </is>
      </c>
      <c r="H4" s="14" t="inlineStr">
        <is>
          <t>吴宇泽 12′ / 何嗣承 24′</t>
        </is>
      </c>
      <c r="I4" s="14" t="inlineStr">
        <is>
          <t>八人制纺大杯对阵管理学院。</t>
        </is>
      </c>
    </row>
    <row r="5" ht="27" customHeight="1">
      <c r="A5" s="16" t="inlineStr">
        <is>
          <t>2025-2026</t>
        </is>
      </c>
      <c r="B5" s="16" t="inlineStr">
        <is>
          <t>八人制新生杯</t>
        </is>
      </c>
      <c r="C5" s="16" t="inlineStr">
        <is>
          <t>2025-12-18</t>
        </is>
      </c>
      <c r="D5" s="16" t="inlineStr">
        <is>
          <t>管理学院</t>
        </is>
      </c>
      <c r="E5" s="16" t="inlineStr">
        <is>
          <t>1 : 0</t>
        </is>
      </c>
      <c r="F5" s="16" t="inlineStr">
        <is>
          <t>win</t>
        </is>
      </c>
      <c r="G5" s="16" t="inlineStr">
        <is>
          <t>阳光校区足球场</t>
        </is>
      </c>
      <c r="H5" s="16" t="inlineStr">
        <is>
          <t>彭卓伦 40′</t>
        </is>
      </c>
      <c r="I5" s="16" t="inlineStr">
        <is>
          <t>最后一场大家轮换到不熟悉的位置，也更理解了队友的难处。</t>
        </is>
      </c>
    </row>
    <row r="6">
      <c r="A6" s="14" t="inlineStr">
        <is>
          <t>2025-2026</t>
        </is>
      </c>
      <c r="B6" s="14" t="inlineStr">
        <is>
          <t>八人制新生杯</t>
        </is>
      </c>
      <c r="C6" s="14" t="inlineStr">
        <is>
          <t>2025-12-17</t>
        </is>
      </c>
      <c r="D6" s="14" t="inlineStr">
        <is>
          <t>计智学院</t>
        </is>
      </c>
      <c r="E6" s="14" t="inlineStr">
        <is>
          <t>0 : 1</t>
        </is>
      </c>
      <c r="F6" s="14" t="inlineStr">
        <is>
          <t>loss</t>
        </is>
      </c>
      <c r="G6" s="14" t="inlineStr">
        <is>
          <t>阳光校区足球场</t>
        </is>
      </c>
      <c r="H6" s="14" t="inlineStr">
        <is>
          <t>暂无进球记录</t>
        </is>
      </c>
      <c r="I6" s="14" t="inlineStr">
        <is>
          <t>首次进入淘汰赛，球队最终获得第七名。</t>
        </is>
      </c>
    </row>
    <row r="7">
      <c r="A7" s="16" t="inlineStr">
        <is>
          <t>2025-2026</t>
        </is>
      </c>
      <c r="B7" s="16" t="inlineStr">
        <is>
          <t>八人制新生杯</t>
        </is>
      </c>
      <c r="C7" s="16" t="inlineStr">
        <is>
          <t>2025-12-16</t>
        </is>
      </c>
      <c r="D7" s="16" t="inlineStr">
        <is>
          <t>南湖校区</t>
        </is>
      </c>
      <c r="E7" s="16" t="inlineStr">
        <is>
          <t>1 : 3</t>
        </is>
      </c>
      <c r="F7" s="16" t="inlineStr">
        <is>
          <t>loss</t>
        </is>
      </c>
      <c r="G7" s="16" t="inlineStr">
        <is>
          <t>阳光校区足球场</t>
        </is>
      </c>
      <c r="H7" s="16" t="inlineStr">
        <is>
          <t>周霄旭 62′</t>
        </is>
      </c>
      <c r="I7" s="16" t="inlineStr">
        <is>
          <t>紧密赛程中的一场比赛。</t>
        </is>
      </c>
    </row>
    <row r="8">
      <c r="A8" s="14" t="inlineStr">
        <is>
          <t>2025-2026</t>
        </is>
      </c>
      <c r="B8" s="14" t="inlineStr">
        <is>
          <t>八人制新生杯</t>
        </is>
      </c>
      <c r="C8" s="14" t="inlineStr">
        <is>
          <t>2025-12-12</t>
        </is>
      </c>
      <c r="D8" s="14" t="inlineStr">
        <is>
          <t>化工学院</t>
        </is>
      </c>
      <c r="E8" s="14" t="inlineStr">
        <is>
          <t>2 : 0</t>
        </is>
      </c>
      <c r="F8" s="14" t="inlineStr">
        <is>
          <t>win</t>
        </is>
      </c>
      <c r="G8" s="14" t="inlineStr">
        <is>
          <t>阳光校区足球场</t>
        </is>
      </c>
      <c r="H8" s="14" t="inlineStr">
        <is>
          <t>彭卓伦 30′ / 吴宇泽 42′</t>
        </is>
      </c>
      <c r="I8" s="14" t="inlineStr">
        <is>
          <t>小组赛第二场胜利。</t>
        </is>
      </c>
    </row>
    <row r="9">
      <c r="A9" s="16" t="inlineStr">
        <is>
          <t>2025-2026</t>
        </is>
      </c>
      <c r="B9" s="16" t="inlineStr">
        <is>
          <t>八人制新生杯</t>
        </is>
      </c>
      <c r="C9" s="16" t="inlineStr">
        <is>
          <t>2025-12-08</t>
        </is>
      </c>
      <c r="D9" s="16" t="inlineStr">
        <is>
          <t>微电子学院</t>
        </is>
      </c>
      <c r="E9" s="16" t="inlineStr">
        <is>
          <t>1 : 0</t>
        </is>
      </c>
      <c r="F9" s="16" t="inlineStr">
        <is>
          <t>win</t>
        </is>
      </c>
      <c r="G9" s="16" t="inlineStr">
        <is>
          <t>阳光校区足球场</t>
        </is>
      </c>
      <c r="H9" s="16" t="inlineStr">
        <is>
          <t>吴宇泽 18′</t>
        </is>
      </c>
      <c r="I9" s="16" t="inlineStr">
        <is>
          <t>球队在新生杯拿到首胜。</t>
        </is>
      </c>
    </row>
    <row r="10">
      <c r="A10" s="14" t="inlineStr">
        <is>
          <t>2025-2026</t>
        </is>
      </c>
      <c r="B10" s="14" t="inlineStr">
        <is>
          <t>八人制新生杯</t>
        </is>
      </c>
      <c r="C10" s="14" t="inlineStr">
        <is>
          <t>2025-12-03</t>
        </is>
      </c>
      <c r="D10" s="14" t="inlineStr">
        <is>
          <t>研究生</t>
        </is>
      </c>
      <c r="E10" s="14" t="inlineStr">
        <is>
          <t>0 : 5</t>
        </is>
      </c>
      <c r="F10" s="14" t="inlineStr">
        <is>
          <t>loss</t>
        </is>
      </c>
      <c r="G10" s="14" t="inlineStr">
        <is>
          <t>阳光校区足球场</t>
        </is>
      </c>
      <c r="H10" s="14" t="inlineStr">
        <is>
          <t>暂无进球记录</t>
        </is>
      </c>
      <c r="I10" s="14" t="inlineStr">
        <is>
          <t>八人制新生杯的第一场记录。</t>
        </is>
      </c>
    </row>
    <row r="11">
      <c r="A11" s="16" t="inlineStr">
        <is>
          <t>2025-2026</t>
        </is>
      </c>
      <c r="B11" s="16" t="inlineStr">
        <is>
          <t>十一人制纺大杯</t>
        </is>
      </c>
      <c r="C11" s="16" t="inlineStr">
        <is>
          <t>2025-10-28</t>
        </is>
      </c>
      <c r="D11" s="16" t="inlineStr">
        <is>
          <t>材料学院</t>
        </is>
      </c>
      <c r="E11" s="16" t="inlineStr">
        <is>
          <t>2 : 5</t>
        </is>
      </c>
      <c r="F11" s="16" t="inlineStr">
        <is>
          <t>loss</t>
        </is>
      </c>
      <c r="G11" s="16" t="inlineStr">
        <is>
          <t>阳光校区足球场</t>
        </is>
      </c>
      <c r="H11" s="16" t="inlineStr">
        <is>
          <t>吴宇泽 20′ / 吴宇泽 60′</t>
        </is>
      </c>
      <c r="I11" s="16" t="inlineStr">
        <is>
          <t>面对一直帮助球队的材料学院，继续在实战里学习。</t>
        </is>
      </c>
    </row>
    <row r="12" ht="27" customHeight="1">
      <c r="A12" s="14" t="inlineStr">
        <is>
          <t>2025-2026</t>
        </is>
      </c>
      <c r="B12" s="14" t="inlineStr">
        <is>
          <t>十一人制纺大杯</t>
        </is>
      </c>
      <c r="C12" s="14" t="inlineStr">
        <is>
          <t>2025-10-14</t>
        </is>
      </c>
      <c r="D12" s="14" t="inlineStr">
        <is>
          <t>管理学院</t>
        </is>
      </c>
      <c r="E12" s="14" t="inlineStr">
        <is>
          <t>2 : 4</t>
        </is>
      </c>
      <c r="F12" s="14" t="inlineStr">
        <is>
          <t>loss</t>
        </is>
      </c>
      <c r="G12" s="14" t="inlineStr">
        <is>
          <t>阳光校区足球场</t>
        </is>
      </c>
      <c r="H12" s="14" t="inlineStr">
        <is>
          <t>周霄旭 20′ / 吴宇泽 40′</t>
        </is>
      </c>
      <c r="I12" s="14" t="inlineStr">
        <is>
          <t>球队十一人制正式首战，雨中作战，比分并非一边倒。</t>
        </is>
      </c>
    </row>
  </sheetData>
  <autoFilter ref="A1:I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L4"/>
  <ns0:sheetViews>
    <ns0:sheetView showGridLines="0" workbookViewId="0">
      <ns0:pane ySplit="1" topLeftCell="A2" activePane="bottomLeft" state="frozen"/>
      <ns0:selection pane="bottomLeft" activeCell="A1" sqref="A1"/>
      <ns0:selection pane="bottomLeft" activeCell="A1" sqref="A1"/>
    </ns0:sheetView>
  </ns0:sheetViews>
  <ns0:sheetFormatPr baseColWidth="8" defaultColWidth="9" defaultRowHeight="13.5"/>
  <ns0:cols>
    <ns0:col width="8" customWidth="1" min="1" max="1"/>
    <ns0:col width="12" customWidth="1" min="2" max="2"/>
    <ns0:col width="10" customWidth="1" min="3" max="3"/>
    <ns0:col width="8" customWidth="1" min="4" max="4"/>
    <ns0:col width="10" customWidth="1" min="5" max="5"/>
    <ns0:col width="18" customWidth="1" min="6" max="6"/>
    <ns0:col width="10" customWidth="1" min="7" max="7"/>
    <ns0:col width="18" customWidth="1" min="8" max="8"/>
    <ns0:col width="34" customWidth="1" min="9" max="9"/>
    <ns0:col width="24" customWidth="1" min="10" max="10"/>
    <ns0:col width="14" customWidth="1" min="11" max="11"/>
    <ns0:col width="12" customWidth="1" min="12" max="12"/>
  </ns0:cols>
  <ns0:sheetData>
    <ns0:row r="1" ht="26" customHeight="1">
      <ns0:c r="A1" s="13" t="inlineStr">
        <ns0:is>
          <ns0:t>排序</ns0:t>
        </ns0:is>
      </ns0:c>
      <ns0:c r="B1" s="13" t="inlineStr">
        <ns0:is>
          <ns0:t>姓名</ns0:t>
        </ns0:is>
      </ns0:c>
      <ns0:c r="C1" s="13" t="inlineStr">
        <ns0:is>
          <ns0:t>年级</ns0:t>
        </ns0:is>
      </ns0:c>
      <ns0:c r="D1" s="13" t="inlineStr">
        <ns0:is>
          <ns0:t>号码</ns0:t>
        </ns0:is>
      </ns0:c>
      <ns0:c r="E1" s="13" t="inlineStr">
        <ns0:is>
          <ns0:t>主位置</ns0:t>
        </ns0:is>
      </ns0:c>
      <ns0:c r="F1" s="13" t="inlineStr">
        <ns0:is>
          <ns0:t>可胜任位置</ns0:t>
        </ns0:is>
      </ns0:c>
      <ns0:c r="G1" s="13" t="inlineStr">
        <ns0:is>
          <ns0:t>惯用脚</ns0:t>
        </ns0:is>
      </ns0:c>
      <ns0:c r="H1" s="13" t="inlineStr">
        <ns0:is>
          <ns0:t>踢球风格</ns0:t>
        </ns0:is>
      </ns0:c>
      <ns0:c r="I1" s="13" t="inlineStr">
        <ns0:is>
          <ns0:t>自我介绍</ns0:t>
        </ns0:is>
      </ns0:c>
      <ns0:c r="J1" s="13" t="inlineStr">
        <ns0:is>
          <ns0:t>照片文件名</ns0:t>
        </ns0:is>
      </ns0:c>
      <ns0:c r="K1" s="13" t="inlineStr">
        <ns0:is>
          <ns0:t>照片焦点</ns0:t>
        </ns0:is>
      </ns0:c>
      <ns0:c r="L1" s="13" t="inlineStr">
        <ns0:is>
          <ns0:t>展示状态</ns0:t>
        </ns0:is>
      </ns0:c>
    </ns0:row>
    <ns0:row r="2">
      <ns0:c r="A2" t="n">
        <ns0:v>1</ns0:v>
      </ns0:c>
      <ns0:c r="B2" t="str">
        <ns0:v>段世添</ns0:v>
      </ns0:c>
      <ns0:c r="C2" t="str">
        <ns0:v>2026级</ns0:v>
      </ns0:c>
      <ns0:c r="D2" t="n">
        <ns0:v>10</ns0:v>
      </ns0:c>
      <ns0:c r="E2" t="str">
        <ns0:v>中锋</ns0:v>
      </ns0:c>
      <ns0:c r="F2" t="str">
        <ns0:v>前腰</ns0:v>
      </ns0:c>
      <ns0:c r="G2" t="str">
        <ns0:v>双脚</ns0:v>
      </ns0:c>
      <ns0:c r="H2"/>
      <ns0:c r="I2" t="str">
        <ns0:v>改变生康历史的男人要来了</ns0:v>
      </ns0:c>
      <ns0:c r="J2" t="str">
        <ns0:v>duanshitian.jpg</ns0:v>
      </ns0:c>
      <ns0:c r="K2" t="str">
        <ns0:v>50% 50%</ns0:v>
      </ns0:c>
      <ns0:c r="L2" t="str">
        <ns0:v>展示</ns0:v>
      </ns0:c>
    </ns0:row>
    <ns0:row r="3">
      <ns0:c r="A3" t="n">
        <ns0:v>2</ns0:v>
      </ns0:c>
      <ns0:c r="B3" t="str">
        <ns0:v>何梁柱</ns0:v>
      </ns0:c>
      <ns0:c r="C3" t="str">
        <ns0:v>2026级</ns0:v>
      </ns0:c>
      <ns0:c r="D3" t="n">
        <ns0:v>18</ns0:v>
      </ns0:c>
      <ns0:c r="E3" t="str">
        <ns0:v>中场</ns0:v>
      </ns0:c>
      <ns0:c r="F3"/>
      <ns0:c r="G3" t="str">
        <ns0:v>右脚</ns0:v>
      </ns0:c>
      <ns0:c r="H3"/>
      <ns0:c r="I3"/>
      <ns0:c r="J3" t="str">
        <ns0:v>heliangzhu.png</ns0:v>
      </ns0:c>
      <ns0:c r="K3" t="str">
        <ns0:v>50% 50%</ns0:v>
      </ns0:c>
      <ns0:c r="L3" t="str">
        <ns0:v>展示</ns0:v>
      </ns0:c>
    </ns0:row>
    <ns0:row r="4">
      <ns0:c r="A4" t="n">
        <ns0:v>3</ns0:v>
      </ns0:c>
      <ns0:c r="B4" t="str">
        <ns0:v>肖思博</ns0:v>
      </ns0:c>
      <ns0:c r="C4" t="str">
        <ns0:v>2026级</ns0:v>
      </ns0:c>
      <ns0:c r="D4" t="n">
        <ns0:v>33</ns0:v>
      </ns0:c>
      <ns0:c r="E4" t="str">
        <ns0:v>后卫</ns0:v>
      </ns0:c>
      <ns0:c r="F4"/>
      <ns0:c r="G4" t="str">
        <ns0:v>右脚</ns0:v>
      </ns0:c>
      <ns0:c r="H4"/>
      <ns0:c r="I4"/>
      <ns0:c r="J4" t="str">
        <ns0:v>xiaosibo.jpg</ns0:v>
      </ns0:c>
      <ns0:c r="K4" t="str">
        <ns0:v>50% 50%</ns0:v>
      </ns0:c>
      <ns0:c r="L4" t="str">
        <ns0:v>展示</ns0:v>
      </ns0:c>
    </ns0:row>
  </ns0:sheetData>
  <ns0:autoFilter ref="A1:L1"/>
  <ns0:pageMargins left="0.75" right="0.75" top="1" bottom="1" header="0.5" footer="0.5"/>
  <ns0:tableParts count="1">
    <ns0:tablePart ns1:id="rId1"/>
  </ns0:tableParts>
</ns0: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4" customWidth="1" min="4" max="4"/>
    <col width="14" customWidth="1" min="5" max="5"/>
    <col width="46" customWidth="1" min="6" max="6"/>
    <col width="38" customWidth="1" min="7" max="7"/>
    <col width="26" customWidth="1" min="8" max="8"/>
    <col width="14" customWidth="1" min="9" max="9"/>
    <col width="12" customWidth="1" min="10" max="10"/>
  </cols>
  <sheetData>
    <row r="1" ht="26" customHeight="1">
      <c r="A1" s="13" t="inlineStr">
        <is>
          <t>排序</t>
        </is>
      </c>
      <c r="B1" s="13" t="inlineStr">
        <is>
          <t>姓名</t>
        </is>
      </c>
      <c r="C1" s="13" t="inlineStr">
        <is>
          <t>年级</t>
        </is>
      </c>
      <c r="D1" s="13" t="inlineStr">
        <is>
          <t>加入赛季</t>
        </is>
      </c>
      <c r="E1" s="13" t="inlineStr">
        <is>
          <t>身份</t>
        </is>
      </c>
      <c r="F1" s="13" t="inlineStr">
        <is>
          <t>职责</t>
        </is>
      </c>
      <c r="G1" s="13" t="inlineStr">
        <is>
          <t>个人介绍</t>
        </is>
      </c>
      <c r="H1" s="13" t="inlineStr">
        <is>
          <t>照片文件名</t>
        </is>
      </c>
      <c r="I1" s="13" t="inlineStr">
        <is>
          <t>照片焦点</t>
        </is>
      </c>
      <c r="J1" s="13" t="inlineStr">
        <is>
          <t>展示状态</t>
        </is>
      </c>
    </row>
  </sheetData>
  <autoFilter ref="A1:J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2026-07-24T04:19:00Z</dcterms:created>
  <dcterms:modified xsi:type="dcterms:W3CDTF">2026-08-02T10:54:30Z</dcterms:modified>
  <cp:lastModifiedBy>吴宇泽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1948FDF72CA0400A878CE7BAE4B792EE_12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